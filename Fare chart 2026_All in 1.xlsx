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AI\Jony_BRTA-work\fare-viewer\"/>
    </mc:Choice>
  </mc:AlternateContent>
  <xr:revisionPtr revIDLastSave="0" documentId="13_ncr:1_{68EDFD9F-A646-48FC-B994-C25A36F3BC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s Fare_(51, 40, 36)" sheetId="7" r:id="rId1"/>
  </sheets>
  <definedNames>
    <definedName name="_xlnm._FilterDatabase" localSheetId="0" hidden="1">'Bus Fare_(51, 40, 36)'!$A$2:$T$467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" i="7" l="1"/>
  <c r="K240" i="7"/>
  <c r="L240" i="7"/>
  <c r="M240" i="7"/>
  <c r="P240" i="7" s="1"/>
  <c r="N240" i="7"/>
  <c r="O240" i="7"/>
  <c r="K241" i="7"/>
  <c r="N241" i="7" s="1"/>
  <c r="L241" i="7"/>
  <c r="O241" i="7" s="1"/>
  <c r="M241" i="7"/>
  <c r="P241" i="7" s="1"/>
  <c r="K242" i="7"/>
  <c r="L242" i="7"/>
  <c r="M242" i="7"/>
  <c r="P242" i="7" s="1"/>
  <c r="N242" i="7"/>
  <c r="O242" i="7"/>
  <c r="K243" i="7"/>
  <c r="N243" i="7" s="1"/>
  <c r="L243" i="7"/>
  <c r="O243" i="7" s="1"/>
  <c r="M243" i="7"/>
  <c r="P243" i="7" s="1"/>
  <c r="K244" i="7"/>
  <c r="N244" i="7" s="1"/>
  <c r="L244" i="7"/>
  <c r="O244" i="7" s="1"/>
  <c r="M244" i="7"/>
  <c r="P244" i="7" s="1"/>
  <c r="K245" i="7"/>
  <c r="N245" i="7" s="1"/>
  <c r="L245" i="7"/>
  <c r="O245" i="7" s="1"/>
  <c r="M245" i="7"/>
  <c r="P245" i="7" s="1"/>
  <c r="K246" i="7"/>
  <c r="N246" i="7" s="1"/>
  <c r="L246" i="7"/>
  <c r="M246" i="7"/>
  <c r="O246" i="7"/>
  <c r="P246" i="7"/>
  <c r="K247" i="7"/>
  <c r="N247" i="7" s="1"/>
  <c r="L247" i="7"/>
  <c r="O247" i="7" s="1"/>
  <c r="M247" i="7"/>
  <c r="P247" i="7"/>
  <c r="K248" i="7"/>
  <c r="N248" i="7" s="1"/>
  <c r="L248" i="7"/>
  <c r="M248" i="7"/>
  <c r="O248" i="7"/>
  <c r="P248" i="7"/>
  <c r="F240" i="7"/>
  <c r="H240" i="7" s="1"/>
  <c r="F241" i="7"/>
  <c r="I241" i="7" s="1"/>
  <c r="F242" i="7"/>
  <c r="G242" i="7" s="1"/>
  <c r="F243" i="7"/>
  <c r="I243" i="7" s="1"/>
  <c r="F244" i="7"/>
  <c r="I244" i="7" s="1"/>
  <c r="F245" i="7"/>
  <c r="I245" i="7" s="1"/>
  <c r="F246" i="7"/>
  <c r="H246" i="7" s="1"/>
  <c r="F247" i="7"/>
  <c r="G247" i="7" s="1"/>
  <c r="F248" i="7"/>
  <c r="I248" i="7" s="1"/>
  <c r="K167" i="7"/>
  <c r="N167" i="7" s="1"/>
  <c r="L167" i="7"/>
  <c r="M167" i="7"/>
  <c r="O167" i="7"/>
  <c r="P167" i="7"/>
  <c r="K168" i="7"/>
  <c r="N168" i="7" s="1"/>
  <c r="L168" i="7"/>
  <c r="O168" i="7" s="1"/>
  <c r="M168" i="7"/>
  <c r="P168" i="7" s="1"/>
  <c r="K169" i="7"/>
  <c r="L169" i="7"/>
  <c r="O169" i="7" s="1"/>
  <c r="M169" i="7"/>
  <c r="P169" i="7" s="1"/>
  <c r="N169" i="7"/>
  <c r="K170" i="7"/>
  <c r="N170" i="7" s="1"/>
  <c r="L170" i="7"/>
  <c r="M170" i="7"/>
  <c r="O170" i="7"/>
  <c r="P170" i="7"/>
  <c r="K171" i="7"/>
  <c r="L171" i="7"/>
  <c r="O171" i="7" s="1"/>
  <c r="M171" i="7"/>
  <c r="P171" i="7" s="1"/>
  <c r="N171" i="7"/>
  <c r="K172" i="7"/>
  <c r="N172" i="7" s="1"/>
  <c r="L172" i="7"/>
  <c r="O172" i="7" s="1"/>
  <c r="M172" i="7"/>
  <c r="P172" i="7" s="1"/>
  <c r="K173" i="7"/>
  <c r="N173" i="7" s="1"/>
  <c r="L173" i="7"/>
  <c r="O173" i="7" s="1"/>
  <c r="M173" i="7"/>
  <c r="P173" i="7" s="1"/>
  <c r="K174" i="7"/>
  <c r="N174" i="7" s="1"/>
  <c r="L174" i="7"/>
  <c r="O174" i="7" s="1"/>
  <c r="M174" i="7"/>
  <c r="P174" i="7" s="1"/>
  <c r="K175" i="7"/>
  <c r="N175" i="7" s="1"/>
  <c r="L175" i="7"/>
  <c r="O175" i="7" s="1"/>
  <c r="M175" i="7"/>
  <c r="P175" i="7" s="1"/>
  <c r="K176" i="7"/>
  <c r="L176" i="7"/>
  <c r="M176" i="7"/>
  <c r="P176" i="7" s="1"/>
  <c r="N176" i="7"/>
  <c r="O176" i="7"/>
  <c r="K177" i="7"/>
  <c r="L177" i="7"/>
  <c r="M177" i="7"/>
  <c r="P177" i="7" s="1"/>
  <c r="N177" i="7"/>
  <c r="O177" i="7"/>
  <c r="K178" i="7"/>
  <c r="L178" i="7"/>
  <c r="O178" i="7" s="1"/>
  <c r="M178" i="7"/>
  <c r="P178" i="7" s="1"/>
  <c r="N178" i="7"/>
  <c r="K179" i="7"/>
  <c r="L179" i="7"/>
  <c r="M179" i="7"/>
  <c r="P179" i="7" s="1"/>
  <c r="N179" i="7"/>
  <c r="O179" i="7"/>
  <c r="F167" i="7"/>
  <c r="G167" i="7" s="1"/>
  <c r="F168" i="7"/>
  <c r="I168" i="7" s="1"/>
  <c r="F169" i="7"/>
  <c r="H169" i="7" s="1"/>
  <c r="G169" i="7"/>
  <c r="F170" i="7"/>
  <c r="G170" i="7" s="1"/>
  <c r="F171" i="7"/>
  <c r="G171" i="7" s="1"/>
  <c r="F172" i="7"/>
  <c r="G172" i="7" s="1"/>
  <c r="I172" i="7"/>
  <c r="F173" i="7"/>
  <c r="H173" i="7" s="1"/>
  <c r="F174" i="7"/>
  <c r="G174" i="7" s="1"/>
  <c r="F175" i="7"/>
  <c r="G175" i="7" s="1"/>
  <c r="F176" i="7"/>
  <c r="G176" i="7" s="1"/>
  <c r="F177" i="7"/>
  <c r="H177" i="7" s="1"/>
  <c r="F178" i="7"/>
  <c r="H178" i="7" s="1"/>
  <c r="F179" i="7"/>
  <c r="G179" i="7" s="1"/>
  <c r="K73" i="7"/>
  <c r="N73" i="7" s="1"/>
  <c r="L73" i="7"/>
  <c r="O73" i="7" s="1"/>
  <c r="M73" i="7"/>
  <c r="P73" i="7"/>
  <c r="K74" i="7"/>
  <c r="N74" i="7" s="1"/>
  <c r="L74" i="7"/>
  <c r="M74" i="7"/>
  <c r="O74" i="7"/>
  <c r="P74" i="7"/>
  <c r="K75" i="7"/>
  <c r="N75" i="7" s="1"/>
  <c r="L75" i="7"/>
  <c r="O75" i="7" s="1"/>
  <c r="M75" i="7"/>
  <c r="P75" i="7" s="1"/>
  <c r="K76" i="7"/>
  <c r="N76" i="7" s="1"/>
  <c r="L76" i="7"/>
  <c r="O76" i="7" s="1"/>
  <c r="M76" i="7"/>
  <c r="P76" i="7"/>
  <c r="K77" i="7"/>
  <c r="N77" i="7" s="1"/>
  <c r="L77" i="7"/>
  <c r="O77" i="7" s="1"/>
  <c r="M77" i="7"/>
  <c r="P77" i="7"/>
  <c r="K78" i="7"/>
  <c r="N78" i="7" s="1"/>
  <c r="L78" i="7"/>
  <c r="O78" i="7" s="1"/>
  <c r="M78" i="7"/>
  <c r="P78" i="7" s="1"/>
  <c r="K79" i="7"/>
  <c r="N79" i="7" s="1"/>
  <c r="L79" i="7"/>
  <c r="O79" i="7" s="1"/>
  <c r="M79" i="7"/>
  <c r="P79" i="7" s="1"/>
  <c r="F73" i="7"/>
  <c r="G73" i="7" s="1"/>
  <c r="F74" i="7"/>
  <c r="H74" i="7" s="1"/>
  <c r="F75" i="7"/>
  <c r="G75" i="7" s="1"/>
  <c r="H75" i="7"/>
  <c r="F76" i="7"/>
  <c r="G76" i="7" s="1"/>
  <c r="F77" i="7"/>
  <c r="G77" i="7" s="1"/>
  <c r="F78" i="7"/>
  <c r="H78" i="7" s="1"/>
  <c r="I78" i="7"/>
  <c r="F79" i="7"/>
  <c r="G79" i="7" s="1"/>
  <c r="K69" i="7"/>
  <c r="L69" i="7"/>
  <c r="O69" i="7" s="1"/>
  <c r="M69" i="7"/>
  <c r="N69" i="7"/>
  <c r="P69" i="7"/>
  <c r="K70" i="7"/>
  <c r="N70" i="7" s="1"/>
  <c r="L70" i="7"/>
  <c r="O70" i="7" s="1"/>
  <c r="M70" i="7"/>
  <c r="P70" i="7" s="1"/>
  <c r="K71" i="7"/>
  <c r="L71" i="7"/>
  <c r="M71" i="7"/>
  <c r="P71" i="7" s="1"/>
  <c r="N71" i="7"/>
  <c r="O71" i="7"/>
  <c r="K72" i="7"/>
  <c r="N72" i="7" s="1"/>
  <c r="L72" i="7"/>
  <c r="M72" i="7"/>
  <c r="O72" i="7"/>
  <c r="P72" i="7"/>
  <c r="F69" i="7"/>
  <c r="G69" i="7" s="1"/>
  <c r="F70" i="7"/>
  <c r="H70" i="7" s="1"/>
  <c r="F71" i="7"/>
  <c r="I71" i="7" s="1"/>
  <c r="F72" i="7"/>
  <c r="I72" i="7" s="1"/>
  <c r="H72" i="7"/>
  <c r="G168" i="7" l="1"/>
  <c r="H176" i="7"/>
  <c r="H76" i="7"/>
  <c r="I174" i="7"/>
  <c r="S174" i="7" s="1"/>
  <c r="R177" i="7"/>
  <c r="H243" i="7"/>
  <c r="Q72" i="7"/>
  <c r="H168" i="7"/>
  <c r="R168" i="7" s="1"/>
  <c r="G243" i="7"/>
  <c r="G241" i="7"/>
  <c r="G244" i="7"/>
  <c r="Q76" i="7"/>
  <c r="G71" i="7"/>
  <c r="H174" i="7"/>
  <c r="R174" i="7" s="1"/>
  <c r="Q171" i="7"/>
  <c r="Q168" i="7"/>
  <c r="H248" i="7"/>
  <c r="R248" i="7" s="1"/>
  <c r="H172" i="7"/>
  <c r="R172" i="7" s="1"/>
  <c r="I76" i="7"/>
  <c r="S76" i="7" s="1"/>
  <c r="G248" i="7"/>
  <c r="G240" i="7"/>
  <c r="Q77" i="7"/>
  <c r="G72" i="7"/>
  <c r="I75" i="7"/>
  <c r="S75" i="7" s="1"/>
  <c r="G246" i="7"/>
  <c r="R246" i="7"/>
  <c r="H71" i="7"/>
  <c r="R71" i="7" s="1"/>
  <c r="R76" i="7"/>
  <c r="G74" i="7"/>
  <c r="I176" i="7"/>
  <c r="S176" i="7" s="1"/>
  <c r="H244" i="7"/>
  <c r="R176" i="7"/>
  <c r="G78" i="7"/>
  <c r="Q74" i="7"/>
  <c r="R169" i="7"/>
  <c r="Q174" i="7"/>
  <c r="I246" i="7"/>
  <c r="S246" i="7" s="1"/>
  <c r="Q176" i="7"/>
  <c r="I167" i="7"/>
  <c r="S167" i="7" s="1"/>
  <c r="Q173" i="7"/>
  <c r="S168" i="7"/>
  <c r="Q248" i="7"/>
  <c r="I170" i="7"/>
  <c r="S170" i="7" s="1"/>
  <c r="H170" i="7"/>
  <c r="R170" i="7" s="1"/>
  <c r="Q175" i="7"/>
  <c r="Q242" i="7"/>
  <c r="S69" i="7"/>
  <c r="Q69" i="7"/>
  <c r="Q246" i="7"/>
  <c r="S72" i="7"/>
  <c r="R74" i="7"/>
  <c r="Q167" i="7"/>
  <c r="S245" i="7"/>
  <c r="G173" i="7"/>
  <c r="R173" i="7"/>
  <c r="Q170" i="7"/>
  <c r="S241" i="7"/>
  <c r="Q241" i="7"/>
  <c r="Q71" i="7"/>
  <c r="I70" i="7"/>
  <c r="S70" i="7" s="1"/>
  <c r="Q75" i="7"/>
  <c r="G178" i="7"/>
  <c r="Q179" i="7"/>
  <c r="I247" i="7"/>
  <c r="S247" i="7" s="1"/>
  <c r="Q245" i="7"/>
  <c r="G70" i="7"/>
  <c r="H247" i="7"/>
  <c r="R247" i="7" s="1"/>
  <c r="H242" i="7"/>
  <c r="R242" i="7" s="1"/>
  <c r="Q70" i="7"/>
  <c r="G177" i="7"/>
  <c r="I171" i="7"/>
  <c r="S171" i="7" s="1"/>
  <c r="R243" i="7"/>
  <c r="R72" i="7"/>
  <c r="I69" i="7"/>
  <c r="H241" i="7"/>
  <c r="R241" i="7" s="1"/>
  <c r="Q243" i="7"/>
  <c r="S248" i="7"/>
  <c r="I175" i="7"/>
  <c r="S175" i="7" s="1"/>
  <c r="I242" i="7"/>
  <c r="S242" i="7" s="1"/>
  <c r="H69" i="7"/>
  <c r="R69" i="7" s="1"/>
  <c r="Q78" i="7"/>
  <c r="I179" i="7"/>
  <c r="S179" i="7" s="1"/>
  <c r="Q172" i="7"/>
  <c r="Q244" i="7"/>
  <c r="R178" i="7"/>
  <c r="I79" i="7"/>
  <c r="S79" i="7" s="1"/>
  <c r="S78" i="7"/>
  <c r="R75" i="7"/>
  <c r="S172" i="7"/>
  <c r="Q169" i="7"/>
  <c r="H245" i="7"/>
  <c r="R245" i="7" s="1"/>
  <c r="R240" i="7"/>
  <c r="Q79" i="7"/>
  <c r="S71" i="7"/>
  <c r="R244" i="7"/>
  <c r="H79" i="7"/>
  <c r="R79" i="7" s="1"/>
  <c r="I74" i="7"/>
  <c r="S74" i="7" s="1"/>
  <c r="R78" i="7"/>
  <c r="I178" i="7"/>
  <c r="S178" i="7" s="1"/>
  <c r="Q177" i="7"/>
  <c r="G245" i="7"/>
  <c r="I240" i="7"/>
  <c r="S240" i="7" s="1"/>
  <c r="Q240" i="7"/>
  <c r="R70" i="7"/>
  <c r="Q178" i="7"/>
  <c r="S244" i="7"/>
  <c r="Q73" i="7"/>
  <c r="Q247" i="7"/>
  <c r="S243" i="7"/>
  <c r="I177" i="7"/>
  <c r="S177" i="7" s="1"/>
  <c r="I173" i="7"/>
  <c r="S173" i="7" s="1"/>
  <c r="I169" i="7"/>
  <c r="S169" i="7" s="1"/>
  <c r="H179" i="7"/>
  <c r="R179" i="7" s="1"/>
  <c r="H175" i="7"/>
  <c r="R175" i="7" s="1"/>
  <c r="H171" i="7"/>
  <c r="R171" i="7" s="1"/>
  <c r="H167" i="7"/>
  <c r="R167" i="7" s="1"/>
  <c r="I77" i="7"/>
  <c r="S77" i="7" s="1"/>
  <c r="I73" i="7"/>
  <c r="S73" i="7" s="1"/>
  <c r="H77" i="7"/>
  <c r="R77" i="7" s="1"/>
  <c r="H73" i="7"/>
  <c r="R73" i="7" s="1"/>
  <c r="M467" i="7" l="1"/>
  <c r="P467" i="7" s="1"/>
  <c r="L467" i="7"/>
  <c r="O467" i="7" s="1"/>
  <c r="K467" i="7"/>
  <c r="N467" i="7" s="1"/>
  <c r="F467" i="7"/>
  <c r="M466" i="7"/>
  <c r="P466" i="7" s="1"/>
  <c r="L466" i="7"/>
  <c r="O466" i="7" s="1"/>
  <c r="K466" i="7"/>
  <c r="N466" i="7" s="1"/>
  <c r="F466" i="7"/>
  <c r="M465" i="7"/>
  <c r="P465" i="7" s="1"/>
  <c r="L465" i="7"/>
  <c r="O465" i="7" s="1"/>
  <c r="K465" i="7"/>
  <c r="N465" i="7" s="1"/>
  <c r="F465" i="7"/>
  <c r="I465" i="7" s="1"/>
  <c r="S465" i="7" s="1"/>
  <c r="M464" i="7"/>
  <c r="P464" i="7" s="1"/>
  <c r="L464" i="7"/>
  <c r="O464" i="7" s="1"/>
  <c r="K464" i="7"/>
  <c r="N464" i="7" s="1"/>
  <c r="F464" i="7"/>
  <c r="I464" i="7" s="1"/>
  <c r="M463" i="7"/>
  <c r="P463" i="7" s="1"/>
  <c r="L463" i="7"/>
  <c r="O463" i="7" s="1"/>
  <c r="K463" i="7"/>
  <c r="N463" i="7" s="1"/>
  <c r="F463" i="7"/>
  <c r="M462" i="7"/>
  <c r="P462" i="7" s="1"/>
  <c r="L462" i="7"/>
  <c r="O462" i="7" s="1"/>
  <c r="K462" i="7"/>
  <c r="N462" i="7" s="1"/>
  <c r="F462" i="7"/>
  <c r="M461" i="7"/>
  <c r="P461" i="7" s="1"/>
  <c r="L461" i="7"/>
  <c r="O461" i="7" s="1"/>
  <c r="K461" i="7"/>
  <c r="N461" i="7" s="1"/>
  <c r="F461" i="7"/>
  <c r="I461" i="7" s="1"/>
  <c r="S461" i="7" s="1"/>
  <c r="M460" i="7"/>
  <c r="P460" i="7" s="1"/>
  <c r="L460" i="7"/>
  <c r="O460" i="7" s="1"/>
  <c r="K460" i="7"/>
  <c r="N460" i="7" s="1"/>
  <c r="F460" i="7"/>
  <c r="I460" i="7" s="1"/>
  <c r="M459" i="7"/>
  <c r="P459" i="7" s="1"/>
  <c r="L459" i="7"/>
  <c r="O459" i="7" s="1"/>
  <c r="K459" i="7"/>
  <c r="N459" i="7" s="1"/>
  <c r="F459" i="7"/>
  <c r="M458" i="7"/>
  <c r="P458" i="7" s="1"/>
  <c r="L458" i="7"/>
  <c r="O458" i="7" s="1"/>
  <c r="K458" i="7"/>
  <c r="N458" i="7" s="1"/>
  <c r="F458" i="7"/>
  <c r="M457" i="7"/>
  <c r="P457" i="7" s="1"/>
  <c r="L457" i="7"/>
  <c r="O457" i="7" s="1"/>
  <c r="K457" i="7"/>
  <c r="N457" i="7" s="1"/>
  <c r="F457" i="7"/>
  <c r="I457" i="7" s="1"/>
  <c r="S457" i="7" s="1"/>
  <c r="M456" i="7"/>
  <c r="P456" i="7" s="1"/>
  <c r="L456" i="7"/>
  <c r="O456" i="7" s="1"/>
  <c r="K456" i="7"/>
  <c r="N456" i="7" s="1"/>
  <c r="F456" i="7"/>
  <c r="I456" i="7" s="1"/>
  <c r="M455" i="7"/>
  <c r="P455" i="7" s="1"/>
  <c r="L455" i="7"/>
  <c r="O455" i="7" s="1"/>
  <c r="K455" i="7"/>
  <c r="N455" i="7" s="1"/>
  <c r="F455" i="7"/>
  <c r="I455" i="7" s="1"/>
  <c r="M454" i="7"/>
  <c r="P454" i="7" s="1"/>
  <c r="L454" i="7"/>
  <c r="O454" i="7" s="1"/>
  <c r="K454" i="7"/>
  <c r="N454" i="7" s="1"/>
  <c r="F454" i="7"/>
  <c r="M453" i="7"/>
  <c r="P453" i="7" s="1"/>
  <c r="L453" i="7"/>
  <c r="O453" i="7" s="1"/>
  <c r="K453" i="7"/>
  <c r="N453" i="7" s="1"/>
  <c r="F453" i="7"/>
  <c r="I453" i="7" s="1"/>
  <c r="S453" i="7" s="1"/>
  <c r="M452" i="7"/>
  <c r="P452" i="7" s="1"/>
  <c r="L452" i="7"/>
  <c r="O452" i="7" s="1"/>
  <c r="K452" i="7"/>
  <c r="N452" i="7" s="1"/>
  <c r="F452" i="7"/>
  <c r="H452" i="7" s="1"/>
  <c r="M451" i="7"/>
  <c r="P451" i="7" s="1"/>
  <c r="L451" i="7"/>
  <c r="O451" i="7" s="1"/>
  <c r="K451" i="7"/>
  <c r="N451" i="7" s="1"/>
  <c r="F451" i="7"/>
  <c r="M450" i="7"/>
  <c r="P450" i="7" s="1"/>
  <c r="L450" i="7"/>
  <c r="O450" i="7" s="1"/>
  <c r="K450" i="7"/>
  <c r="N450" i="7" s="1"/>
  <c r="F450" i="7"/>
  <c r="M449" i="7"/>
  <c r="P449" i="7" s="1"/>
  <c r="L449" i="7"/>
  <c r="O449" i="7" s="1"/>
  <c r="K449" i="7"/>
  <c r="N449" i="7" s="1"/>
  <c r="F449" i="7"/>
  <c r="M448" i="7"/>
  <c r="P448" i="7" s="1"/>
  <c r="L448" i="7"/>
  <c r="O448" i="7" s="1"/>
  <c r="K448" i="7"/>
  <c r="N448" i="7" s="1"/>
  <c r="F448" i="7"/>
  <c r="M447" i="7"/>
  <c r="P447" i="7" s="1"/>
  <c r="L447" i="7"/>
  <c r="O447" i="7" s="1"/>
  <c r="K447" i="7"/>
  <c r="N447" i="7" s="1"/>
  <c r="F447" i="7"/>
  <c r="M446" i="7"/>
  <c r="P446" i="7" s="1"/>
  <c r="L446" i="7"/>
  <c r="O446" i="7" s="1"/>
  <c r="K446" i="7"/>
  <c r="N446" i="7" s="1"/>
  <c r="F446" i="7"/>
  <c r="M445" i="7"/>
  <c r="P445" i="7" s="1"/>
  <c r="L445" i="7"/>
  <c r="O445" i="7" s="1"/>
  <c r="K445" i="7"/>
  <c r="N445" i="7" s="1"/>
  <c r="F445" i="7"/>
  <c r="I445" i="7" s="1"/>
  <c r="S445" i="7" s="1"/>
  <c r="M444" i="7"/>
  <c r="P444" i="7" s="1"/>
  <c r="L444" i="7"/>
  <c r="O444" i="7" s="1"/>
  <c r="K444" i="7"/>
  <c r="N444" i="7" s="1"/>
  <c r="F444" i="7"/>
  <c r="M443" i="7"/>
  <c r="P443" i="7" s="1"/>
  <c r="L443" i="7"/>
  <c r="O443" i="7" s="1"/>
  <c r="K443" i="7"/>
  <c r="N443" i="7" s="1"/>
  <c r="F443" i="7"/>
  <c r="I443" i="7" s="1"/>
  <c r="M442" i="7"/>
  <c r="P442" i="7" s="1"/>
  <c r="L442" i="7"/>
  <c r="O442" i="7" s="1"/>
  <c r="K442" i="7"/>
  <c r="N442" i="7" s="1"/>
  <c r="F442" i="7"/>
  <c r="M441" i="7"/>
  <c r="P441" i="7" s="1"/>
  <c r="L441" i="7"/>
  <c r="O441" i="7" s="1"/>
  <c r="K441" i="7"/>
  <c r="N441" i="7" s="1"/>
  <c r="F441" i="7"/>
  <c r="I441" i="7" s="1"/>
  <c r="S441" i="7" s="1"/>
  <c r="M440" i="7"/>
  <c r="P440" i="7" s="1"/>
  <c r="L440" i="7"/>
  <c r="O440" i="7" s="1"/>
  <c r="K440" i="7"/>
  <c r="N440" i="7" s="1"/>
  <c r="F440" i="7"/>
  <c r="H440" i="7" s="1"/>
  <c r="M439" i="7"/>
  <c r="P439" i="7" s="1"/>
  <c r="L439" i="7"/>
  <c r="O439" i="7" s="1"/>
  <c r="K439" i="7"/>
  <c r="N439" i="7" s="1"/>
  <c r="F439" i="7"/>
  <c r="M438" i="7"/>
  <c r="P438" i="7" s="1"/>
  <c r="L438" i="7"/>
  <c r="O438" i="7" s="1"/>
  <c r="K438" i="7"/>
  <c r="N438" i="7" s="1"/>
  <c r="F438" i="7"/>
  <c r="M437" i="7"/>
  <c r="P437" i="7" s="1"/>
  <c r="L437" i="7"/>
  <c r="O437" i="7" s="1"/>
  <c r="K437" i="7"/>
  <c r="N437" i="7" s="1"/>
  <c r="F437" i="7"/>
  <c r="H437" i="7" s="1"/>
  <c r="M436" i="7"/>
  <c r="P436" i="7" s="1"/>
  <c r="L436" i="7"/>
  <c r="O436" i="7" s="1"/>
  <c r="K436" i="7"/>
  <c r="N436" i="7" s="1"/>
  <c r="F436" i="7"/>
  <c r="I436" i="7" s="1"/>
  <c r="M435" i="7"/>
  <c r="P435" i="7" s="1"/>
  <c r="L435" i="7"/>
  <c r="O435" i="7" s="1"/>
  <c r="K435" i="7"/>
  <c r="N435" i="7" s="1"/>
  <c r="F435" i="7"/>
  <c r="I435" i="7" s="1"/>
  <c r="M434" i="7"/>
  <c r="P434" i="7" s="1"/>
  <c r="L434" i="7"/>
  <c r="O434" i="7" s="1"/>
  <c r="K434" i="7"/>
  <c r="N434" i="7" s="1"/>
  <c r="F434" i="7"/>
  <c r="M433" i="7"/>
  <c r="P433" i="7" s="1"/>
  <c r="L433" i="7"/>
  <c r="O433" i="7" s="1"/>
  <c r="K433" i="7"/>
  <c r="N433" i="7" s="1"/>
  <c r="F433" i="7"/>
  <c r="H433" i="7" s="1"/>
  <c r="M432" i="7"/>
  <c r="P432" i="7" s="1"/>
  <c r="L432" i="7"/>
  <c r="O432" i="7" s="1"/>
  <c r="K432" i="7"/>
  <c r="N432" i="7" s="1"/>
  <c r="F432" i="7"/>
  <c r="H432" i="7" s="1"/>
  <c r="M431" i="7"/>
  <c r="P431" i="7" s="1"/>
  <c r="L431" i="7"/>
  <c r="O431" i="7" s="1"/>
  <c r="K431" i="7"/>
  <c r="N431" i="7" s="1"/>
  <c r="F431" i="7"/>
  <c r="H431" i="7" s="1"/>
  <c r="M430" i="7"/>
  <c r="P430" i="7" s="1"/>
  <c r="L430" i="7"/>
  <c r="O430" i="7" s="1"/>
  <c r="K430" i="7"/>
  <c r="N430" i="7" s="1"/>
  <c r="F430" i="7"/>
  <c r="M429" i="7"/>
  <c r="P429" i="7" s="1"/>
  <c r="L429" i="7"/>
  <c r="O429" i="7" s="1"/>
  <c r="K429" i="7"/>
  <c r="N429" i="7" s="1"/>
  <c r="F429" i="7"/>
  <c r="H429" i="7" s="1"/>
  <c r="M428" i="7"/>
  <c r="P428" i="7" s="1"/>
  <c r="L428" i="7"/>
  <c r="O428" i="7" s="1"/>
  <c r="K428" i="7"/>
  <c r="N428" i="7" s="1"/>
  <c r="F428" i="7"/>
  <c r="I428" i="7" s="1"/>
  <c r="M427" i="7"/>
  <c r="P427" i="7" s="1"/>
  <c r="L427" i="7"/>
  <c r="O427" i="7" s="1"/>
  <c r="K427" i="7"/>
  <c r="N427" i="7" s="1"/>
  <c r="F427" i="7"/>
  <c r="G427" i="7" s="1"/>
  <c r="M426" i="7"/>
  <c r="P426" i="7" s="1"/>
  <c r="L426" i="7"/>
  <c r="O426" i="7" s="1"/>
  <c r="K426" i="7"/>
  <c r="N426" i="7" s="1"/>
  <c r="F426" i="7"/>
  <c r="M425" i="7"/>
  <c r="P425" i="7" s="1"/>
  <c r="L425" i="7"/>
  <c r="O425" i="7" s="1"/>
  <c r="K425" i="7"/>
  <c r="N425" i="7" s="1"/>
  <c r="F425" i="7"/>
  <c r="H425" i="7" s="1"/>
  <c r="M424" i="7"/>
  <c r="P424" i="7" s="1"/>
  <c r="L424" i="7"/>
  <c r="O424" i="7" s="1"/>
  <c r="K424" i="7"/>
  <c r="N424" i="7" s="1"/>
  <c r="F424" i="7"/>
  <c r="I424" i="7" s="1"/>
  <c r="M423" i="7"/>
  <c r="P423" i="7" s="1"/>
  <c r="L423" i="7"/>
  <c r="O423" i="7" s="1"/>
  <c r="K423" i="7"/>
  <c r="N423" i="7" s="1"/>
  <c r="F423" i="7"/>
  <c r="G423" i="7" s="1"/>
  <c r="M422" i="7"/>
  <c r="P422" i="7" s="1"/>
  <c r="L422" i="7"/>
  <c r="O422" i="7" s="1"/>
  <c r="K422" i="7"/>
  <c r="N422" i="7" s="1"/>
  <c r="F422" i="7"/>
  <c r="M421" i="7"/>
  <c r="P421" i="7" s="1"/>
  <c r="L421" i="7"/>
  <c r="O421" i="7" s="1"/>
  <c r="K421" i="7"/>
  <c r="N421" i="7" s="1"/>
  <c r="F421" i="7"/>
  <c r="H421" i="7" s="1"/>
  <c r="M420" i="7"/>
  <c r="P420" i="7" s="1"/>
  <c r="L420" i="7"/>
  <c r="O420" i="7" s="1"/>
  <c r="K420" i="7"/>
  <c r="N420" i="7" s="1"/>
  <c r="F420" i="7"/>
  <c r="M419" i="7"/>
  <c r="P419" i="7" s="1"/>
  <c r="L419" i="7"/>
  <c r="O419" i="7" s="1"/>
  <c r="K419" i="7"/>
  <c r="N419" i="7" s="1"/>
  <c r="F419" i="7"/>
  <c r="I419" i="7" s="1"/>
  <c r="M418" i="7"/>
  <c r="P418" i="7" s="1"/>
  <c r="L418" i="7"/>
  <c r="O418" i="7" s="1"/>
  <c r="K418" i="7"/>
  <c r="N418" i="7" s="1"/>
  <c r="F418" i="7"/>
  <c r="M417" i="7"/>
  <c r="P417" i="7" s="1"/>
  <c r="L417" i="7"/>
  <c r="O417" i="7" s="1"/>
  <c r="K417" i="7"/>
  <c r="N417" i="7" s="1"/>
  <c r="F417" i="7"/>
  <c r="H417" i="7" s="1"/>
  <c r="M416" i="7"/>
  <c r="P416" i="7" s="1"/>
  <c r="L416" i="7"/>
  <c r="O416" i="7" s="1"/>
  <c r="K416" i="7"/>
  <c r="N416" i="7" s="1"/>
  <c r="F416" i="7"/>
  <c r="M415" i="7"/>
  <c r="P415" i="7" s="1"/>
  <c r="L415" i="7"/>
  <c r="O415" i="7" s="1"/>
  <c r="K415" i="7"/>
  <c r="N415" i="7" s="1"/>
  <c r="F415" i="7"/>
  <c r="I415" i="7" s="1"/>
  <c r="M414" i="7"/>
  <c r="P414" i="7" s="1"/>
  <c r="L414" i="7"/>
  <c r="O414" i="7" s="1"/>
  <c r="K414" i="7"/>
  <c r="N414" i="7" s="1"/>
  <c r="F414" i="7"/>
  <c r="M413" i="7"/>
  <c r="P413" i="7" s="1"/>
  <c r="L413" i="7"/>
  <c r="O413" i="7" s="1"/>
  <c r="K413" i="7"/>
  <c r="N413" i="7" s="1"/>
  <c r="F413" i="7"/>
  <c r="H413" i="7" s="1"/>
  <c r="M412" i="7"/>
  <c r="P412" i="7" s="1"/>
  <c r="L412" i="7"/>
  <c r="O412" i="7" s="1"/>
  <c r="K412" i="7"/>
  <c r="N412" i="7" s="1"/>
  <c r="F412" i="7"/>
  <c r="I412" i="7" s="1"/>
  <c r="M411" i="7"/>
  <c r="P411" i="7" s="1"/>
  <c r="L411" i="7"/>
  <c r="O411" i="7" s="1"/>
  <c r="K411" i="7"/>
  <c r="N411" i="7" s="1"/>
  <c r="F411" i="7"/>
  <c r="M410" i="7"/>
  <c r="P410" i="7" s="1"/>
  <c r="L410" i="7"/>
  <c r="O410" i="7" s="1"/>
  <c r="K410" i="7"/>
  <c r="N410" i="7" s="1"/>
  <c r="F410" i="7"/>
  <c r="H410" i="7" s="1"/>
  <c r="M409" i="7"/>
  <c r="P409" i="7" s="1"/>
  <c r="L409" i="7"/>
  <c r="O409" i="7" s="1"/>
  <c r="K409" i="7"/>
  <c r="N409" i="7" s="1"/>
  <c r="F409" i="7"/>
  <c r="I409" i="7" s="1"/>
  <c r="S409" i="7" s="1"/>
  <c r="M408" i="7"/>
  <c r="P408" i="7" s="1"/>
  <c r="L408" i="7"/>
  <c r="O408" i="7" s="1"/>
  <c r="K408" i="7"/>
  <c r="N408" i="7" s="1"/>
  <c r="F408" i="7"/>
  <c r="I408" i="7" s="1"/>
  <c r="M407" i="7"/>
  <c r="P407" i="7" s="1"/>
  <c r="L407" i="7"/>
  <c r="O407" i="7" s="1"/>
  <c r="K407" i="7"/>
  <c r="N407" i="7" s="1"/>
  <c r="F407" i="7"/>
  <c r="M406" i="7"/>
  <c r="P406" i="7" s="1"/>
  <c r="L406" i="7"/>
  <c r="O406" i="7" s="1"/>
  <c r="K406" i="7"/>
  <c r="N406" i="7" s="1"/>
  <c r="F406" i="7"/>
  <c r="M405" i="7"/>
  <c r="P405" i="7" s="1"/>
  <c r="L405" i="7"/>
  <c r="O405" i="7" s="1"/>
  <c r="K405" i="7"/>
  <c r="N405" i="7" s="1"/>
  <c r="F405" i="7"/>
  <c r="I405" i="7" s="1"/>
  <c r="S405" i="7" s="1"/>
  <c r="M404" i="7"/>
  <c r="P404" i="7" s="1"/>
  <c r="L404" i="7"/>
  <c r="O404" i="7" s="1"/>
  <c r="K404" i="7"/>
  <c r="N404" i="7" s="1"/>
  <c r="F404" i="7"/>
  <c r="I404" i="7" s="1"/>
  <c r="M403" i="7"/>
  <c r="P403" i="7" s="1"/>
  <c r="L403" i="7"/>
  <c r="O403" i="7" s="1"/>
  <c r="K403" i="7"/>
  <c r="N403" i="7" s="1"/>
  <c r="F403" i="7"/>
  <c r="G403" i="7" s="1"/>
  <c r="M402" i="7"/>
  <c r="P402" i="7" s="1"/>
  <c r="L402" i="7"/>
  <c r="O402" i="7" s="1"/>
  <c r="K402" i="7"/>
  <c r="N402" i="7" s="1"/>
  <c r="F402" i="7"/>
  <c r="H402" i="7" s="1"/>
  <c r="M401" i="7"/>
  <c r="P401" i="7" s="1"/>
  <c r="L401" i="7"/>
  <c r="O401" i="7" s="1"/>
  <c r="K401" i="7"/>
  <c r="N401" i="7" s="1"/>
  <c r="F401" i="7"/>
  <c r="M400" i="7"/>
  <c r="P400" i="7" s="1"/>
  <c r="L400" i="7"/>
  <c r="O400" i="7" s="1"/>
  <c r="K400" i="7"/>
  <c r="N400" i="7" s="1"/>
  <c r="F400" i="7"/>
  <c r="I400" i="7" s="1"/>
  <c r="M399" i="7"/>
  <c r="P399" i="7" s="1"/>
  <c r="L399" i="7"/>
  <c r="O399" i="7" s="1"/>
  <c r="K399" i="7"/>
  <c r="N399" i="7" s="1"/>
  <c r="F399" i="7"/>
  <c r="M398" i="7"/>
  <c r="P398" i="7" s="1"/>
  <c r="L398" i="7"/>
  <c r="O398" i="7" s="1"/>
  <c r="K398" i="7"/>
  <c r="N398" i="7" s="1"/>
  <c r="F398" i="7"/>
  <c r="M397" i="7"/>
  <c r="P397" i="7" s="1"/>
  <c r="L397" i="7"/>
  <c r="O397" i="7" s="1"/>
  <c r="K397" i="7"/>
  <c r="N397" i="7" s="1"/>
  <c r="F397" i="7"/>
  <c r="I397" i="7" s="1"/>
  <c r="S397" i="7" s="1"/>
  <c r="M396" i="7"/>
  <c r="P396" i="7" s="1"/>
  <c r="L396" i="7"/>
  <c r="O396" i="7" s="1"/>
  <c r="K396" i="7"/>
  <c r="N396" i="7" s="1"/>
  <c r="F396" i="7"/>
  <c r="I396" i="7" s="1"/>
  <c r="M395" i="7"/>
  <c r="P395" i="7" s="1"/>
  <c r="L395" i="7"/>
  <c r="O395" i="7" s="1"/>
  <c r="K395" i="7"/>
  <c r="N395" i="7" s="1"/>
  <c r="F395" i="7"/>
  <c r="I395" i="7" s="1"/>
  <c r="M394" i="7"/>
  <c r="P394" i="7" s="1"/>
  <c r="L394" i="7"/>
  <c r="O394" i="7" s="1"/>
  <c r="K394" i="7"/>
  <c r="N394" i="7" s="1"/>
  <c r="F394" i="7"/>
  <c r="M393" i="7"/>
  <c r="P393" i="7" s="1"/>
  <c r="L393" i="7"/>
  <c r="O393" i="7" s="1"/>
  <c r="K393" i="7"/>
  <c r="N393" i="7" s="1"/>
  <c r="F393" i="7"/>
  <c r="H393" i="7" s="1"/>
  <c r="M392" i="7"/>
  <c r="P392" i="7" s="1"/>
  <c r="L392" i="7"/>
  <c r="O392" i="7" s="1"/>
  <c r="K392" i="7"/>
  <c r="N392" i="7" s="1"/>
  <c r="F392" i="7"/>
  <c r="I392" i="7" s="1"/>
  <c r="M391" i="7"/>
  <c r="P391" i="7" s="1"/>
  <c r="L391" i="7"/>
  <c r="O391" i="7" s="1"/>
  <c r="K391" i="7"/>
  <c r="N391" i="7" s="1"/>
  <c r="F391" i="7"/>
  <c r="I391" i="7" s="1"/>
  <c r="M390" i="7"/>
  <c r="P390" i="7" s="1"/>
  <c r="L390" i="7"/>
  <c r="O390" i="7" s="1"/>
  <c r="K390" i="7"/>
  <c r="N390" i="7" s="1"/>
  <c r="F390" i="7"/>
  <c r="M389" i="7"/>
  <c r="P389" i="7" s="1"/>
  <c r="L389" i="7"/>
  <c r="O389" i="7" s="1"/>
  <c r="K389" i="7"/>
  <c r="N389" i="7" s="1"/>
  <c r="F389" i="7"/>
  <c r="H389" i="7" s="1"/>
  <c r="M388" i="7"/>
  <c r="P388" i="7" s="1"/>
  <c r="L388" i="7"/>
  <c r="O388" i="7" s="1"/>
  <c r="K388" i="7"/>
  <c r="N388" i="7" s="1"/>
  <c r="F388" i="7"/>
  <c r="I388" i="7" s="1"/>
  <c r="M387" i="7"/>
  <c r="P387" i="7" s="1"/>
  <c r="L387" i="7"/>
  <c r="O387" i="7" s="1"/>
  <c r="K387" i="7"/>
  <c r="N387" i="7" s="1"/>
  <c r="F387" i="7"/>
  <c r="M386" i="7"/>
  <c r="P386" i="7" s="1"/>
  <c r="L386" i="7"/>
  <c r="O386" i="7" s="1"/>
  <c r="K386" i="7"/>
  <c r="N386" i="7" s="1"/>
  <c r="F386" i="7"/>
  <c r="H386" i="7" s="1"/>
  <c r="M385" i="7"/>
  <c r="P385" i="7" s="1"/>
  <c r="L385" i="7"/>
  <c r="O385" i="7" s="1"/>
  <c r="K385" i="7"/>
  <c r="N385" i="7" s="1"/>
  <c r="F385" i="7"/>
  <c r="M384" i="7"/>
  <c r="P384" i="7" s="1"/>
  <c r="L384" i="7"/>
  <c r="O384" i="7" s="1"/>
  <c r="K384" i="7"/>
  <c r="N384" i="7" s="1"/>
  <c r="F384" i="7"/>
  <c r="H384" i="7" s="1"/>
  <c r="M383" i="7"/>
  <c r="P383" i="7" s="1"/>
  <c r="L383" i="7"/>
  <c r="O383" i="7" s="1"/>
  <c r="K383" i="7"/>
  <c r="N383" i="7" s="1"/>
  <c r="F383" i="7"/>
  <c r="M382" i="7"/>
  <c r="P382" i="7" s="1"/>
  <c r="L382" i="7"/>
  <c r="O382" i="7" s="1"/>
  <c r="K382" i="7"/>
  <c r="N382" i="7" s="1"/>
  <c r="F382" i="7"/>
  <c r="H382" i="7" s="1"/>
  <c r="M381" i="7"/>
  <c r="P381" i="7" s="1"/>
  <c r="L381" i="7"/>
  <c r="O381" i="7" s="1"/>
  <c r="K381" i="7"/>
  <c r="N381" i="7" s="1"/>
  <c r="F381" i="7"/>
  <c r="I381" i="7" s="1"/>
  <c r="S381" i="7" s="1"/>
  <c r="M380" i="7"/>
  <c r="P380" i="7" s="1"/>
  <c r="L380" i="7"/>
  <c r="O380" i="7" s="1"/>
  <c r="K380" i="7"/>
  <c r="N380" i="7" s="1"/>
  <c r="F380" i="7"/>
  <c r="H380" i="7" s="1"/>
  <c r="M379" i="7"/>
  <c r="P379" i="7" s="1"/>
  <c r="L379" i="7"/>
  <c r="O379" i="7" s="1"/>
  <c r="K379" i="7"/>
  <c r="N379" i="7" s="1"/>
  <c r="F379" i="7"/>
  <c r="M378" i="7"/>
  <c r="P378" i="7" s="1"/>
  <c r="L378" i="7"/>
  <c r="O378" i="7" s="1"/>
  <c r="K378" i="7"/>
  <c r="N378" i="7" s="1"/>
  <c r="F378" i="7"/>
  <c r="M377" i="7"/>
  <c r="P377" i="7" s="1"/>
  <c r="L377" i="7"/>
  <c r="O377" i="7" s="1"/>
  <c r="K377" i="7"/>
  <c r="N377" i="7" s="1"/>
  <c r="F377" i="7"/>
  <c r="H377" i="7" s="1"/>
  <c r="M376" i="7"/>
  <c r="P376" i="7" s="1"/>
  <c r="L376" i="7"/>
  <c r="O376" i="7" s="1"/>
  <c r="K376" i="7"/>
  <c r="N376" i="7" s="1"/>
  <c r="F376" i="7"/>
  <c r="M375" i="7"/>
  <c r="P375" i="7" s="1"/>
  <c r="L375" i="7"/>
  <c r="O375" i="7" s="1"/>
  <c r="K375" i="7"/>
  <c r="N375" i="7" s="1"/>
  <c r="F375" i="7"/>
  <c r="M374" i="7"/>
  <c r="P374" i="7" s="1"/>
  <c r="L374" i="7"/>
  <c r="O374" i="7" s="1"/>
  <c r="K374" i="7"/>
  <c r="N374" i="7" s="1"/>
  <c r="F374" i="7"/>
  <c r="M373" i="7"/>
  <c r="P373" i="7" s="1"/>
  <c r="L373" i="7"/>
  <c r="O373" i="7" s="1"/>
  <c r="K373" i="7"/>
  <c r="N373" i="7" s="1"/>
  <c r="F373" i="7"/>
  <c r="I373" i="7" s="1"/>
  <c r="S373" i="7" s="1"/>
  <c r="M372" i="7"/>
  <c r="P372" i="7" s="1"/>
  <c r="L372" i="7"/>
  <c r="O372" i="7" s="1"/>
  <c r="K372" i="7"/>
  <c r="N372" i="7" s="1"/>
  <c r="F372" i="7"/>
  <c r="H372" i="7" s="1"/>
  <c r="M371" i="7"/>
  <c r="P371" i="7" s="1"/>
  <c r="L371" i="7"/>
  <c r="O371" i="7" s="1"/>
  <c r="K371" i="7"/>
  <c r="N371" i="7" s="1"/>
  <c r="F371" i="7"/>
  <c r="I371" i="7" s="1"/>
  <c r="M370" i="7"/>
  <c r="P370" i="7" s="1"/>
  <c r="L370" i="7"/>
  <c r="O370" i="7" s="1"/>
  <c r="K370" i="7"/>
  <c r="N370" i="7" s="1"/>
  <c r="F370" i="7"/>
  <c r="I370" i="7" s="1"/>
  <c r="M369" i="7"/>
  <c r="P369" i="7" s="1"/>
  <c r="L369" i="7"/>
  <c r="O369" i="7" s="1"/>
  <c r="K369" i="7"/>
  <c r="N369" i="7" s="1"/>
  <c r="F369" i="7"/>
  <c r="M368" i="7"/>
  <c r="P368" i="7" s="1"/>
  <c r="L368" i="7"/>
  <c r="O368" i="7" s="1"/>
  <c r="K368" i="7"/>
  <c r="N368" i="7" s="1"/>
  <c r="F368" i="7"/>
  <c r="H368" i="7" s="1"/>
  <c r="M367" i="7"/>
  <c r="P367" i="7" s="1"/>
  <c r="L367" i="7"/>
  <c r="O367" i="7" s="1"/>
  <c r="K367" i="7"/>
  <c r="N367" i="7" s="1"/>
  <c r="F367" i="7"/>
  <c r="M366" i="7"/>
  <c r="P366" i="7" s="1"/>
  <c r="L366" i="7"/>
  <c r="O366" i="7" s="1"/>
  <c r="K366" i="7"/>
  <c r="N366" i="7" s="1"/>
  <c r="F366" i="7"/>
  <c r="G366" i="7" s="1"/>
  <c r="M365" i="7"/>
  <c r="P365" i="7" s="1"/>
  <c r="L365" i="7"/>
  <c r="O365" i="7" s="1"/>
  <c r="K365" i="7"/>
  <c r="N365" i="7" s="1"/>
  <c r="F365" i="7"/>
  <c r="I365" i="7" s="1"/>
  <c r="S365" i="7" s="1"/>
  <c r="M364" i="7"/>
  <c r="P364" i="7" s="1"/>
  <c r="L364" i="7"/>
  <c r="O364" i="7" s="1"/>
  <c r="K364" i="7"/>
  <c r="N364" i="7" s="1"/>
  <c r="F364" i="7"/>
  <c r="H364" i="7" s="1"/>
  <c r="M363" i="7"/>
  <c r="P363" i="7" s="1"/>
  <c r="L363" i="7"/>
  <c r="O363" i="7" s="1"/>
  <c r="K363" i="7"/>
  <c r="N363" i="7" s="1"/>
  <c r="F363" i="7"/>
  <c r="I363" i="7" s="1"/>
  <c r="M362" i="7"/>
  <c r="P362" i="7" s="1"/>
  <c r="L362" i="7"/>
  <c r="O362" i="7" s="1"/>
  <c r="K362" i="7"/>
  <c r="N362" i="7" s="1"/>
  <c r="F362" i="7"/>
  <c r="G362" i="7" s="1"/>
  <c r="M361" i="7"/>
  <c r="P361" i="7" s="1"/>
  <c r="L361" i="7"/>
  <c r="O361" i="7" s="1"/>
  <c r="K361" i="7"/>
  <c r="N361" i="7" s="1"/>
  <c r="F361" i="7"/>
  <c r="H361" i="7" s="1"/>
  <c r="M360" i="7"/>
  <c r="P360" i="7" s="1"/>
  <c r="L360" i="7"/>
  <c r="O360" i="7" s="1"/>
  <c r="K360" i="7"/>
  <c r="N360" i="7" s="1"/>
  <c r="F360" i="7"/>
  <c r="I360" i="7" s="1"/>
  <c r="M359" i="7"/>
  <c r="P359" i="7" s="1"/>
  <c r="L359" i="7"/>
  <c r="O359" i="7" s="1"/>
  <c r="K359" i="7"/>
  <c r="N359" i="7" s="1"/>
  <c r="F359" i="7"/>
  <c r="H359" i="7" s="1"/>
  <c r="M358" i="7"/>
  <c r="P358" i="7" s="1"/>
  <c r="L358" i="7"/>
  <c r="O358" i="7" s="1"/>
  <c r="K358" i="7"/>
  <c r="N358" i="7" s="1"/>
  <c r="F358" i="7"/>
  <c r="M357" i="7"/>
  <c r="P357" i="7" s="1"/>
  <c r="L357" i="7"/>
  <c r="O357" i="7" s="1"/>
  <c r="K357" i="7"/>
  <c r="N357" i="7" s="1"/>
  <c r="F357" i="7"/>
  <c r="H357" i="7" s="1"/>
  <c r="M356" i="7"/>
  <c r="P356" i="7" s="1"/>
  <c r="L356" i="7"/>
  <c r="O356" i="7" s="1"/>
  <c r="K356" i="7"/>
  <c r="N356" i="7" s="1"/>
  <c r="F356" i="7"/>
  <c r="M355" i="7"/>
  <c r="P355" i="7" s="1"/>
  <c r="L355" i="7"/>
  <c r="O355" i="7" s="1"/>
  <c r="K355" i="7"/>
  <c r="N355" i="7" s="1"/>
  <c r="F355" i="7"/>
  <c r="M354" i="7"/>
  <c r="P354" i="7" s="1"/>
  <c r="L354" i="7"/>
  <c r="O354" i="7" s="1"/>
  <c r="K354" i="7"/>
  <c r="N354" i="7" s="1"/>
  <c r="F354" i="7"/>
  <c r="I354" i="7" s="1"/>
  <c r="M353" i="7"/>
  <c r="P353" i="7" s="1"/>
  <c r="L353" i="7"/>
  <c r="O353" i="7" s="1"/>
  <c r="K353" i="7"/>
  <c r="N353" i="7" s="1"/>
  <c r="F353" i="7"/>
  <c r="H353" i="7" s="1"/>
  <c r="M352" i="7"/>
  <c r="P352" i="7" s="1"/>
  <c r="L352" i="7"/>
  <c r="O352" i="7" s="1"/>
  <c r="K352" i="7"/>
  <c r="N352" i="7" s="1"/>
  <c r="F352" i="7"/>
  <c r="H352" i="7" s="1"/>
  <c r="M351" i="7"/>
  <c r="P351" i="7" s="1"/>
  <c r="L351" i="7"/>
  <c r="O351" i="7" s="1"/>
  <c r="K351" i="7"/>
  <c r="N351" i="7" s="1"/>
  <c r="F351" i="7"/>
  <c r="G351" i="7" s="1"/>
  <c r="M350" i="7"/>
  <c r="P350" i="7" s="1"/>
  <c r="L350" i="7"/>
  <c r="O350" i="7" s="1"/>
  <c r="K350" i="7"/>
  <c r="N350" i="7" s="1"/>
  <c r="F350" i="7"/>
  <c r="H350" i="7" s="1"/>
  <c r="M349" i="7"/>
  <c r="P349" i="7" s="1"/>
  <c r="L349" i="7"/>
  <c r="O349" i="7" s="1"/>
  <c r="K349" i="7"/>
  <c r="N349" i="7" s="1"/>
  <c r="F349" i="7"/>
  <c r="H349" i="7" s="1"/>
  <c r="M348" i="7"/>
  <c r="P348" i="7" s="1"/>
  <c r="L348" i="7"/>
  <c r="O348" i="7" s="1"/>
  <c r="K348" i="7"/>
  <c r="N348" i="7" s="1"/>
  <c r="F348" i="7"/>
  <c r="M347" i="7"/>
  <c r="P347" i="7" s="1"/>
  <c r="L347" i="7"/>
  <c r="O347" i="7" s="1"/>
  <c r="K347" i="7"/>
  <c r="N347" i="7" s="1"/>
  <c r="F347" i="7"/>
  <c r="M346" i="7"/>
  <c r="P346" i="7" s="1"/>
  <c r="L346" i="7"/>
  <c r="O346" i="7" s="1"/>
  <c r="K346" i="7"/>
  <c r="N346" i="7" s="1"/>
  <c r="F346" i="7"/>
  <c r="I346" i="7" s="1"/>
  <c r="M345" i="7"/>
  <c r="P345" i="7" s="1"/>
  <c r="L345" i="7"/>
  <c r="O345" i="7" s="1"/>
  <c r="K345" i="7"/>
  <c r="N345" i="7" s="1"/>
  <c r="F345" i="7"/>
  <c r="H345" i="7" s="1"/>
  <c r="M344" i="7"/>
  <c r="P344" i="7" s="1"/>
  <c r="L344" i="7"/>
  <c r="O344" i="7" s="1"/>
  <c r="K344" i="7"/>
  <c r="N344" i="7" s="1"/>
  <c r="F344" i="7"/>
  <c r="M343" i="7"/>
  <c r="P343" i="7" s="1"/>
  <c r="L343" i="7"/>
  <c r="O343" i="7" s="1"/>
  <c r="K343" i="7"/>
  <c r="N343" i="7" s="1"/>
  <c r="F343" i="7"/>
  <c r="H343" i="7" s="1"/>
  <c r="M342" i="7"/>
  <c r="P342" i="7" s="1"/>
  <c r="L342" i="7"/>
  <c r="O342" i="7" s="1"/>
  <c r="K342" i="7"/>
  <c r="N342" i="7" s="1"/>
  <c r="F342" i="7"/>
  <c r="I342" i="7" s="1"/>
  <c r="M341" i="7"/>
  <c r="P341" i="7" s="1"/>
  <c r="L341" i="7"/>
  <c r="O341" i="7" s="1"/>
  <c r="K341" i="7"/>
  <c r="N341" i="7" s="1"/>
  <c r="F341" i="7"/>
  <c r="H341" i="7" s="1"/>
  <c r="M340" i="7"/>
  <c r="P340" i="7" s="1"/>
  <c r="L340" i="7"/>
  <c r="O340" i="7" s="1"/>
  <c r="K340" i="7"/>
  <c r="N340" i="7" s="1"/>
  <c r="F340" i="7"/>
  <c r="H340" i="7" s="1"/>
  <c r="M339" i="7"/>
  <c r="P339" i="7" s="1"/>
  <c r="L339" i="7"/>
  <c r="O339" i="7" s="1"/>
  <c r="K339" i="7"/>
  <c r="N339" i="7" s="1"/>
  <c r="F339" i="7"/>
  <c r="H339" i="7" s="1"/>
  <c r="M338" i="7"/>
  <c r="P338" i="7" s="1"/>
  <c r="L338" i="7"/>
  <c r="O338" i="7" s="1"/>
  <c r="K338" i="7"/>
  <c r="N338" i="7" s="1"/>
  <c r="F338" i="7"/>
  <c r="H338" i="7" s="1"/>
  <c r="M337" i="7"/>
  <c r="P337" i="7" s="1"/>
  <c r="L337" i="7"/>
  <c r="O337" i="7" s="1"/>
  <c r="K337" i="7"/>
  <c r="N337" i="7" s="1"/>
  <c r="F337" i="7"/>
  <c r="H337" i="7" s="1"/>
  <c r="M336" i="7"/>
  <c r="P336" i="7" s="1"/>
  <c r="L336" i="7"/>
  <c r="O336" i="7" s="1"/>
  <c r="K336" i="7"/>
  <c r="N336" i="7" s="1"/>
  <c r="F336" i="7"/>
  <c r="I336" i="7" s="1"/>
  <c r="M335" i="7"/>
  <c r="P335" i="7" s="1"/>
  <c r="L335" i="7"/>
  <c r="O335" i="7" s="1"/>
  <c r="K335" i="7"/>
  <c r="N335" i="7" s="1"/>
  <c r="F335" i="7"/>
  <c r="I335" i="7" s="1"/>
  <c r="M334" i="7"/>
  <c r="P334" i="7" s="1"/>
  <c r="L334" i="7"/>
  <c r="O334" i="7" s="1"/>
  <c r="K334" i="7"/>
  <c r="N334" i="7" s="1"/>
  <c r="F334" i="7"/>
  <c r="H334" i="7" s="1"/>
  <c r="M333" i="7"/>
  <c r="P333" i="7" s="1"/>
  <c r="L333" i="7"/>
  <c r="O333" i="7" s="1"/>
  <c r="K333" i="7"/>
  <c r="N333" i="7" s="1"/>
  <c r="F333" i="7"/>
  <c r="M332" i="7"/>
  <c r="P332" i="7" s="1"/>
  <c r="L332" i="7"/>
  <c r="O332" i="7" s="1"/>
  <c r="K332" i="7"/>
  <c r="N332" i="7" s="1"/>
  <c r="F332" i="7"/>
  <c r="H332" i="7" s="1"/>
  <c r="M331" i="7"/>
  <c r="P331" i="7" s="1"/>
  <c r="L331" i="7"/>
  <c r="O331" i="7" s="1"/>
  <c r="K331" i="7"/>
  <c r="N331" i="7" s="1"/>
  <c r="F331" i="7"/>
  <c r="M330" i="7"/>
  <c r="P330" i="7" s="1"/>
  <c r="L330" i="7"/>
  <c r="O330" i="7" s="1"/>
  <c r="K330" i="7"/>
  <c r="N330" i="7" s="1"/>
  <c r="F330" i="7"/>
  <c r="I330" i="7" s="1"/>
  <c r="M329" i="7"/>
  <c r="P329" i="7" s="1"/>
  <c r="L329" i="7"/>
  <c r="O329" i="7" s="1"/>
  <c r="K329" i="7"/>
  <c r="N329" i="7" s="1"/>
  <c r="F329" i="7"/>
  <c r="H329" i="7" s="1"/>
  <c r="M328" i="7"/>
  <c r="P328" i="7" s="1"/>
  <c r="L328" i="7"/>
  <c r="O328" i="7" s="1"/>
  <c r="K328" i="7"/>
  <c r="N328" i="7" s="1"/>
  <c r="F328" i="7"/>
  <c r="M327" i="7"/>
  <c r="P327" i="7" s="1"/>
  <c r="L327" i="7"/>
  <c r="O327" i="7" s="1"/>
  <c r="K327" i="7"/>
  <c r="N327" i="7" s="1"/>
  <c r="F327" i="7"/>
  <c r="M326" i="7"/>
  <c r="P326" i="7" s="1"/>
  <c r="L326" i="7"/>
  <c r="O326" i="7" s="1"/>
  <c r="K326" i="7"/>
  <c r="N326" i="7" s="1"/>
  <c r="F326" i="7"/>
  <c r="M325" i="7"/>
  <c r="P325" i="7" s="1"/>
  <c r="L325" i="7"/>
  <c r="O325" i="7" s="1"/>
  <c r="K325" i="7"/>
  <c r="N325" i="7" s="1"/>
  <c r="F325" i="7"/>
  <c r="H325" i="7" s="1"/>
  <c r="M324" i="7"/>
  <c r="P324" i="7" s="1"/>
  <c r="L324" i="7"/>
  <c r="O324" i="7" s="1"/>
  <c r="K324" i="7"/>
  <c r="N324" i="7" s="1"/>
  <c r="F324" i="7"/>
  <c r="M323" i="7"/>
  <c r="P323" i="7" s="1"/>
  <c r="L323" i="7"/>
  <c r="O323" i="7" s="1"/>
  <c r="K323" i="7"/>
  <c r="N323" i="7" s="1"/>
  <c r="F323" i="7"/>
  <c r="M322" i="7"/>
  <c r="P322" i="7" s="1"/>
  <c r="L322" i="7"/>
  <c r="O322" i="7" s="1"/>
  <c r="K322" i="7"/>
  <c r="N322" i="7" s="1"/>
  <c r="F322" i="7"/>
  <c r="H322" i="7" s="1"/>
  <c r="M321" i="7"/>
  <c r="P321" i="7" s="1"/>
  <c r="L321" i="7"/>
  <c r="O321" i="7" s="1"/>
  <c r="K321" i="7"/>
  <c r="N321" i="7" s="1"/>
  <c r="F321" i="7"/>
  <c r="H321" i="7" s="1"/>
  <c r="M320" i="7"/>
  <c r="P320" i="7" s="1"/>
  <c r="L320" i="7"/>
  <c r="O320" i="7" s="1"/>
  <c r="K320" i="7"/>
  <c r="N320" i="7" s="1"/>
  <c r="F320" i="7"/>
  <c r="I320" i="7" s="1"/>
  <c r="M319" i="7"/>
  <c r="P319" i="7" s="1"/>
  <c r="L319" i="7"/>
  <c r="O319" i="7" s="1"/>
  <c r="K319" i="7"/>
  <c r="N319" i="7" s="1"/>
  <c r="F319" i="7"/>
  <c r="G319" i="7" s="1"/>
  <c r="M318" i="7"/>
  <c r="P318" i="7" s="1"/>
  <c r="L318" i="7"/>
  <c r="O318" i="7" s="1"/>
  <c r="K318" i="7"/>
  <c r="N318" i="7" s="1"/>
  <c r="F318" i="7"/>
  <c r="H318" i="7" s="1"/>
  <c r="M317" i="7"/>
  <c r="P317" i="7" s="1"/>
  <c r="L317" i="7"/>
  <c r="O317" i="7" s="1"/>
  <c r="K317" i="7"/>
  <c r="N317" i="7" s="1"/>
  <c r="F317" i="7"/>
  <c r="I317" i="7" s="1"/>
  <c r="M316" i="7"/>
  <c r="P316" i="7" s="1"/>
  <c r="L316" i="7"/>
  <c r="O316" i="7" s="1"/>
  <c r="K316" i="7"/>
  <c r="N316" i="7" s="1"/>
  <c r="F316" i="7"/>
  <c r="H316" i="7" s="1"/>
  <c r="M315" i="7"/>
  <c r="P315" i="7" s="1"/>
  <c r="L315" i="7"/>
  <c r="O315" i="7" s="1"/>
  <c r="K315" i="7"/>
  <c r="N315" i="7" s="1"/>
  <c r="F315" i="7"/>
  <c r="M314" i="7"/>
  <c r="P314" i="7" s="1"/>
  <c r="L314" i="7"/>
  <c r="O314" i="7" s="1"/>
  <c r="K314" i="7"/>
  <c r="N314" i="7" s="1"/>
  <c r="F314" i="7"/>
  <c r="I314" i="7" s="1"/>
  <c r="M313" i="7"/>
  <c r="P313" i="7" s="1"/>
  <c r="L313" i="7"/>
  <c r="O313" i="7" s="1"/>
  <c r="K313" i="7"/>
  <c r="N313" i="7" s="1"/>
  <c r="F313" i="7"/>
  <c r="I313" i="7" s="1"/>
  <c r="M312" i="7"/>
  <c r="P312" i="7" s="1"/>
  <c r="L312" i="7"/>
  <c r="O312" i="7" s="1"/>
  <c r="K312" i="7"/>
  <c r="N312" i="7" s="1"/>
  <c r="F312" i="7"/>
  <c r="M311" i="7"/>
  <c r="P311" i="7" s="1"/>
  <c r="L311" i="7"/>
  <c r="O311" i="7" s="1"/>
  <c r="K311" i="7"/>
  <c r="N311" i="7" s="1"/>
  <c r="F311" i="7"/>
  <c r="M310" i="7"/>
  <c r="P310" i="7" s="1"/>
  <c r="L310" i="7"/>
  <c r="O310" i="7" s="1"/>
  <c r="K310" i="7"/>
  <c r="N310" i="7" s="1"/>
  <c r="F310" i="7"/>
  <c r="M309" i="7"/>
  <c r="P309" i="7" s="1"/>
  <c r="L309" i="7"/>
  <c r="O309" i="7" s="1"/>
  <c r="K309" i="7"/>
  <c r="N309" i="7" s="1"/>
  <c r="F309" i="7"/>
  <c r="H309" i="7" s="1"/>
  <c r="M308" i="7"/>
  <c r="P308" i="7" s="1"/>
  <c r="L308" i="7"/>
  <c r="O308" i="7" s="1"/>
  <c r="K308" i="7"/>
  <c r="N308" i="7" s="1"/>
  <c r="F308" i="7"/>
  <c r="H308" i="7" s="1"/>
  <c r="M307" i="7"/>
  <c r="P307" i="7" s="1"/>
  <c r="L307" i="7"/>
  <c r="O307" i="7" s="1"/>
  <c r="K307" i="7"/>
  <c r="N307" i="7" s="1"/>
  <c r="F307" i="7"/>
  <c r="M306" i="7"/>
  <c r="P306" i="7" s="1"/>
  <c r="L306" i="7"/>
  <c r="O306" i="7" s="1"/>
  <c r="K306" i="7"/>
  <c r="N306" i="7" s="1"/>
  <c r="F306" i="7"/>
  <c r="H306" i="7" s="1"/>
  <c r="M305" i="7"/>
  <c r="P305" i="7" s="1"/>
  <c r="L305" i="7"/>
  <c r="O305" i="7" s="1"/>
  <c r="K305" i="7"/>
  <c r="N305" i="7" s="1"/>
  <c r="F305" i="7"/>
  <c r="I305" i="7" s="1"/>
  <c r="M304" i="7"/>
  <c r="P304" i="7" s="1"/>
  <c r="L304" i="7"/>
  <c r="O304" i="7" s="1"/>
  <c r="K304" i="7"/>
  <c r="N304" i="7" s="1"/>
  <c r="F304" i="7"/>
  <c r="H304" i="7" s="1"/>
  <c r="M303" i="7"/>
  <c r="P303" i="7" s="1"/>
  <c r="L303" i="7"/>
  <c r="O303" i="7" s="1"/>
  <c r="K303" i="7"/>
  <c r="N303" i="7" s="1"/>
  <c r="F303" i="7"/>
  <c r="H303" i="7" s="1"/>
  <c r="M302" i="7"/>
  <c r="P302" i="7" s="1"/>
  <c r="L302" i="7"/>
  <c r="O302" i="7" s="1"/>
  <c r="K302" i="7"/>
  <c r="N302" i="7" s="1"/>
  <c r="F302" i="7"/>
  <c r="M301" i="7"/>
  <c r="P301" i="7" s="1"/>
  <c r="L301" i="7"/>
  <c r="O301" i="7" s="1"/>
  <c r="K301" i="7"/>
  <c r="N301" i="7" s="1"/>
  <c r="F301" i="7"/>
  <c r="I301" i="7" s="1"/>
  <c r="M300" i="7"/>
  <c r="P300" i="7" s="1"/>
  <c r="L300" i="7"/>
  <c r="O300" i="7" s="1"/>
  <c r="K300" i="7"/>
  <c r="N300" i="7" s="1"/>
  <c r="F300" i="7"/>
  <c r="M299" i="7"/>
  <c r="P299" i="7" s="1"/>
  <c r="L299" i="7"/>
  <c r="O299" i="7" s="1"/>
  <c r="K299" i="7"/>
  <c r="N299" i="7" s="1"/>
  <c r="F299" i="7"/>
  <c r="I299" i="7" s="1"/>
  <c r="M298" i="7"/>
  <c r="P298" i="7" s="1"/>
  <c r="L298" i="7"/>
  <c r="O298" i="7" s="1"/>
  <c r="K298" i="7"/>
  <c r="N298" i="7" s="1"/>
  <c r="F298" i="7"/>
  <c r="M297" i="7"/>
  <c r="P297" i="7" s="1"/>
  <c r="L297" i="7"/>
  <c r="O297" i="7" s="1"/>
  <c r="K297" i="7"/>
  <c r="N297" i="7" s="1"/>
  <c r="F297" i="7"/>
  <c r="G297" i="7" s="1"/>
  <c r="M296" i="7"/>
  <c r="P296" i="7" s="1"/>
  <c r="L296" i="7"/>
  <c r="O296" i="7" s="1"/>
  <c r="K296" i="7"/>
  <c r="N296" i="7" s="1"/>
  <c r="F296" i="7"/>
  <c r="I296" i="7" s="1"/>
  <c r="M295" i="7"/>
  <c r="P295" i="7" s="1"/>
  <c r="L295" i="7"/>
  <c r="O295" i="7" s="1"/>
  <c r="K295" i="7"/>
  <c r="N295" i="7" s="1"/>
  <c r="F295" i="7"/>
  <c r="I295" i="7" s="1"/>
  <c r="M294" i="7"/>
  <c r="P294" i="7" s="1"/>
  <c r="L294" i="7"/>
  <c r="O294" i="7" s="1"/>
  <c r="K294" i="7"/>
  <c r="N294" i="7" s="1"/>
  <c r="F294" i="7"/>
  <c r="M293" i="7"/>
  <c r="P293" i="7" s="1"/>
  <c r="L293" i="7"/>
  <c r="O293" i="7" s="1"/>
  <c r="K293" i="7"/>
  <c r="N293" i="7" s="1"/>
  <c r="F293" i="7"/>
  <c r="M292" i="7"/>
  <c r="P292" i="7" s="1"/>
  <c r="L292" i="7"/>
  <c r="O292" i="7" s="1"/>
  <c r="K292" i="7"/>
  <c r="N292" i="7" s="1"/>
  <c r="F292" i="7"/>
  <c r="I292" i="7" s="1"/>
  <c r="M291" i="7"/>
  <c r="P291" i="7" s="1"/>
  <c r="L291" i="7"/>
  <c r="O291" i="7" s="1"/>
  <c r="K291" i="7"/>
  <c r="N291" i="7" s="1"/>
  <c r="F291" i="7"/>
  <c r="I291" i="7" s="1"/>
  <c r="M290" i="7"/>
  <c r="P290" i="7" s="1"/>
  <c r="L290" i="7"/>
  <c r="O290" i="7" s="1"/>
  <c r="K290" i="7"/>
  <c r="N290" i="7" s="1"/>
  <c r="F290" i="7"/>
  <c r="M289" i="7"/>
  <c r="P289" i="7" s="1"/>
  <c r="L289" i="7"/>
  <c r="O289" i="7" s="1"/>
  <c r="K289" i="7"/>
  <c r="N289" i="7" s="1"/>
  <c r="F289" i="7"/>
  <c r="H289" i="7" s="1"/>
  <c r="M288" i="7"/>
  <c r="P288" i="7" s="1"/>
  <c r="L288" i="7"/>
  <c r="O288" i="7" s="1"/>
  <c r="K288" i="7"/>
  <c r="N288" i="7" s="1"/>
  <c r="F288" i="7"/>
  <c r="M287" i="7"/>
  <c r="P287" i="7" s="1"/>
  <c r="L287" i="7"/>
  <c r="O287" i="7" s="1"/>
  <c r="K287" i="7"/>
  <c r="N287" i="7" s="1"/>
  <c r="F287" i="7"/>
  <c r="H287" i="7" s="1"/>
  <c r="M286" i="7"/>
  <c r="P286" i="7" s="1"/>
  <c r="L286" i="7"/>
  <c r="O286" i="7" s="1"/>
  <c r="K286" i="7"/>
  <c r="N286" i="7" s="1"/>
  <c r="F286" i="7"/>
  <c r="I286" i="7" s="1"/>
  <c r="M285" i="7"/>
  <c r="P285" i="7" s="1"/>
  <c r="L285" i="7"/>
  <c r="O285" i="7" s="1"/>
  <c r="K285" i="7"/>
  <c r="N285" i="7" s="1"/>
  <c r="F285" i="7"/>
  <c r="M284" i="7"/>
  <c r="P284" i="7" s="1"/>
  <c r="L284" i="7"/>
  <c r="O284" i="7" s="1"/>
  <c r="K284" i="7"/>
  <c r="N284" i="7" s="1"/>
  <c r="F284" i="7"/>
  <c r="M283" i="7"/>
  <c r="P283" i="7" s="1"/>
  <c r="L283" i="7"/>
  <c r="O283" i="7" s="1"/>
  <c r="K283" i="7"/>
  <c r="N283" i="7" s="1"/>
  <c r="F283" i="7"/>
  <c r="M282" i="7"/>
  <c r="P282" i="7" s="1"/>
  <c r="L282" i="7"/>
  <c r="O282" i="7" s="1"/>
  <c r="K282" i="7"/>
  <c r="N282" i="7" s="1"/>
  <c r="F282" i="7"/>
  <c r="G282" i="7" s="1"/>
  <c r="M281" i="7"/>
  <c r="P281" i="7" s="1"/>
  <c r="L281" i="7"/>
  <c r="O281" i="7" s="1"/>
  <c r="K281" i="7"/>
  <c r="N281" i="7" s="1"/>
  <c r="F281" i="7"/>
  <c r="M280" i="7"/>
  <c r="P280" i="7" s="1"/>
  <c r="L280" i="7"/>
  <c r="O280" i="7" s="1"/>
  <c r="K280" i="7"/>
  <c r="N280" i="7" s="1"/>
  <c r="F280" i="7"/>
  <c r="M279" i="7"/>
  <c r="P279" i="7" s="1"/>
  <c r="L279" i="7"/>
  <c r="O279" i="7" s="1"/>
  <c r="K279" i="7"/>
  <c r="N279" i="7" s="1"/>
  <c r="F279" i="7"/>
  <c r="I279" i="7" s="1"/>
  <c r="M278" i="7"/>
  <c r="P278" i="7" s="1"/>
  <c r="L278" i="7"/>
  <c r="O278" i="7" s="1"/>
  <c r="K278" i="7"/>
  <c r="N278" i="7" s="1"/>
  <c r="F278" i="7"/>
  <c r="I278" i="7" s="1"/>
  <c r="M277" i="7"/>
  <c r="P277" i="7" s="1"/>
  <c r="L277" i="7"/>
  <c r="O277" i="7" s="1"/>
  <c r="K277" i="7"/>
  <c r="N277" i="7" s="1"/>
  <c r="F277" i="7"/>
  <c r="H277" i="7" s="1"/>
  <c r="M276" i="7"/>
  <c r="P276" i="7" s="1"/>
  <c r="L276" i="7"/>
  <c r="O276" i="7" s="1"/>
  <c r="K276" i="7"/>
  <c r="N276" i="7" s="1"/>
  <c r="F276" i="7"/>
  <c r="I276" i="7" s="1"/>
  <c r="M275" i="7"/>
  <c r="P275" i="7" s="1"/>
  <c r="L275" i="7"/>
  <c r="O275" i="7" s="1"/>
  <c r="K275" i="7"/>
  <c r="N275" i="7" s="1"/>
  <c r="F275" i="7"/>
  <c r="G275" i="7" s="1"/>
  <c r="M274" i="7"/>
  <c r="P274" i="7" s="1"/>
  <c r="L274" i="7"/>
  <c r="O274" i="7" s="1"/>
  <c r="K274" i="7"/>
  <c r="N274" i="7" s="1"/>
  <c r="F274" i="7"/>
  <c r="M273" i="7"/>
  <c r="P273" i="7" s="1"/>
  <c r="L273" i="7"/>
  <c r="O273" i="7" s="1"/>
  <c r="K273" i="7"/>
  <c r="N273" i="7" s="1"/>
  <c r="F273" i="7"/>
  <c r="I273" i="7" s="1"/>
  <c r="M272" i="7"/>
  <c r="P272" i="7" s="1"/>
  <c r="L272" i="7"/>
  <c r="O272" i="7" s="1"/>
  <c r="K272" i="7"/>
  <c r="N272" i="7" s="1"/>
  <c r="F272" i="7"/>
  <c r="I272" i="7" s="1"/>
  <c r="M271" i="7"/>
  <c r="P271" i="7" s="1"/>
  <c r="L271" i="7"/>
  <c r="O271" i="7" s="1"/>
  <c r="K271" i="7"/>
  <c r="N271" i="7" s="1"/>
  <c r="F271" i="7"/>
  <c r="M270" i="7"/>
  <c r="P270" i="7" s="1"/>
  <c r="L270" i="7"/>
  <c r="O270" i="7" s="1"/>
  <c r="K270" i="7"/>
  <c r="N270" i="7" s="1"/>
  <c r="F270" i="7"/>
  <c r="H270" i="7" s="1"/>
  <c r="M269" i="7"/>
  <c r="P269" i="7" s="1"/>
  <c r="L269" i="7"/>
  <c r="O269" i="7" s="1"/>
  <c r="K269" i="7"/>
  <c r="N269" i="7" s="1"/>
  <c r="F269" i="7"/>
  <c r="M268" i="7"/>
  <c r="P268" i="7" s="1"/>
  <c r="L268" i="7"/>
  <c r="O268" i="7" s="1"/>
  <c r="K268" i="7"/>
  <c r="N268" i="7" s="1"/>
  <c r="F268" i="7"/>
  <c r="M267" i="7"/>
  <c r="P267" i="7" s="1"/>
  <c r="L267" i="7"/>
  <c r="O267" i="7" s="1"/>
  <c r="K267" i="7"/>
  <c r="N267" i="7" s="1"/>
  <c r="F267" i="7"/>
  <c r="M266" i="7"/>
  <c r="P266" i="7" s="1"/>
  <c r="L266" i="7"/>
  <c r="O266" i="7" s="1"/>
  <c r="K266" i="7"/>
  <c r="N266" i="7" s="1"/>
  <c r="F266" i="7"/>
  <c r="M265" i="7"/>
  <c r="P265" i="7" s="1"/>
  <c r="L265" i="7"/>
  <c r="O265" i="7" s="1"/>
  <c r="K265" i="7"/>
  <c r="N265" i="7" s="1"/>
  <c r="F265" i="7"/>
  <c r="M264" i="7"/>
  <c r="P264" i="7" s="1"/>
  <c r="L264" i="7"/>
  <c r="O264" i="7" s="1"/>
  <c r="K264" i="7"/>
  <c r="N264" i="7" s="1"/>
  <c r="F264" i="7"/>
  <c r="H264" i="7" s="1"/>
  <c r="M263" i="7"/>
  <c r="P263" i="7" s="1"/>
  <c r="L263" i="7"/>
  <c r="O263" i="7" s="1"/>
  <c r="K263" i="7"/>
  <c r="N263" i="7" s="1"/>
  <c r="F263" i="7"/>
  <c r="M262" i="7"/>
  <c r="P262" i="7" s="1"/>
  <c r="L262" i="7"/>
  <c r="O262" i="7" s="1"/>
  <c r="K262" i="7"/>
  <c r="N262" i="7" s="1"/>
  <c r="F262" i="7"/>
  <c r="I262" i="7" s="1"/>
  <c r="M261" i="7"/>
  <c r="P261" i="7" s="1"/>
  <c r="L261" i="7"/>
  <c r="O261" i="7" s="1"/>
  <c r="K261" i="7"/>
  <c r="N261" i="7" s="1"/>
  <c r="F261" i="7"/>
  <c r="I261" i="7" s="1"/>
  <c r="M260" i="7"/>
  <c r="P260" i="7" s="1"/>
  <c r="L260" i="7"/>
  <c r="O260" i="7" s="1"/>
  <c r="K260" i="7"/>
  <c r="N260" i="7" s="1"/>
  <c r="F260" i="7"/>
  <c r="M259" i="7"/>
  <c r="P259" i="7" s="1"/>
  <c r="L259" i="7"/>
  <c r="O259" i="7" s="1"/>
  <c r="K259" i="7"/>
  <c r="N259" i="7" s="1"/>
  <c r="F259" i="7"/>
  <c r="I259" i="7" s="1"/>
  <c r="M258" i="7"/>
  <c r="P258" i="7" s="1"/>
  <c r="L258" i="7"/>
  <c r="O258" i="7" s="1"/>
  <c r="K258" i="7"/>
  <c r="N258" i="7" s="1"/>
  <c r="F258" i="7"/>
  <c r="I258" i="7" s="1"/>
  <c r="M257" i="7"/>
  <c r="P257" i="7" s="1"/>
  <c r="L257" i="7"/>
  <c r="O257" i="7" s="1"/>
  <c r="K257" i="7"/>
  <c r="N257" i="7" s="1"/>
  <c r="F257" i="7"/>
  <c r="M256" i="7"/>
  <c r="P256" i="7" s="1"/>
  <c r="L256" i="7"/>
  <c r="O256" i="7" s="1"/>
  <c r="K256" i="7"/>
  <c r="N256" i="7" s="1"/>
  <c r="F256" i="7"/>
  <c r="M255" i="7"/>
  <c r="P255" i="7" s="1"/>
  <c r="L255" i="7"/>
  <c r="O255" i="7" s="1"/>
  <c r="K255" i="7"/>
  <c r="N255" i="7" s="1"/>
  <c r="F255" i="7"/>
  <c r="G255" i="7" s="1"/>
  <c r="M254" i="7"/>
  <c r="P254" i="7" s="1"/>
  <c r="L254" i="7"/>
  <c r="O254" i="7" s="1"/>
  <c r="K254" i="7"/>
  <c r="N254" i="7" s="1"/>
  <c r="F254" i="7"/>
  <c r="G254" i="7" s="1"/>
  <c r="M253" i="7"/>
  <c r="P253" i="7" s="1"/>
  <c r="L253" i="7"/>
  <c r="O253" i="7" s="1"/>
  <c r="K253" i="7"/>
  <c r="N253" i="7" s="1"/>
  <c r="F253" i="7"/>
  <c r="H253" i="7" s="1"/>
  <c r="M252" i="7"/>
  <c r="P252" i="7" s="1"/>
  <c r="L252" i="7"/>
  <c r="O252" i="7" s="1"/>
  <c r="K252" i="7"/>
  <c r="N252" i="7" s="1"/>
  <c r="F252" i="7"/>
  <c r="M251" i="7"/>
  <c r="P251" i="7" s="1"/>
  <c r="L251" i="7"/>
  <c r="O251" i="7" s="1"/>
  <c r="K251" i="7"/>
  <c r="N251" i="7" s="1"/>
  <c r="F251" i="7"/>
  <c r="H251" i="7" s="1"/>
  <c r="M250" i="7"/>
  <c r="P250" i="7" s="1"/>
  <c r="L250" i="7"/>
  <c r="O250" i="7" s="1"/>
  <c r="K250" i="7"/>
  <c r="N250" i="7" s="1"/>
  <c r="F250" i="7"/>
  <c r="G250" i="7" s="1"/>
  <c r="M249" i="7"/>
  <c r="P249" i="7" s="1"/>
  <c r="L249" i="7"/>
  <c r="O249" i="7" s="1"/>
  <c r="K249" i="7"/>
  <c r="N249" i="7" s="1"/>
  <c r="F249" i="7"/>
  <c r="H249" i="7" s="1"/>
  <c r="M239" i="7"/>
  <c r="P239" i="7" s="1"/>
  <c r="L239" i="7"/>
  <c r="O239" i="7" s="1"/>
  <c r="K239" i="7"/>
  <c r="N239" i="7" s="1"/>
  <c r="F239" i="7"/>
  <c r="G239" i="7" s="1"/>
  <c r="M238" i="7"/>
  <c r="P238" i="7" s="1"/>
  <c r="L238" i="7"/>
  <c r="O238" i="7" s="1"/>
  <c r="K238" i="7"/>
  <c r="N238" i="7" s="1"/>
  <c r="F238" i="7"/>
  <c r="M237" i="7"/>
  <c r="P237" i="7" s="1"/>
  <c r="L237" i="7"/>
  <c r="O237" i="7" s="1"/>
  <c r="K237" i="7"/>
  <c r="N237" i="7" s="1"/>
  <c r="F237" i="7"/>
  <c r="I237" i="7" s="1"/>
  <c r="M236" i="7"/>
  <c r="P236" i="7" s="1"/>
  <c r="L236" i="7"/>
  <c r="O236" i="7" s="1"/>
  <c r="K236" i="7"/>
  <c r="N236" i="7" s="1"/>
  <c r="F236" i="7"/>
  <c r="H236" i="7" s="1"/>
  <c r="M235" i="7"/>
  <c r="P235" i="7" s="1"/>
  <c r="L235" i="7"/>
  <c r="O235" i="7" s="1"/>
  <c r="K235" i="7"/>
  <c r="N235" i="7" s="1"/>
  <c r="F235" i="7"/>
  <c r="G235" i="7" s="1"/>
  <c r="M234" i="7"/>
  <c r="P234" i="7" s="1"/>
  <c r="L234" i="7"/>
  <c r="O234" i="7" s="1"/>
  <c r="K234" i="7"/>
  <c r="N234" i="7" s="1"/>
  <c r="F234" i="7"/>
  <c r="M233" i="7"/>
  <c r="P233" i="7" s="1"/>
  <c r="L233" i="7"/>
  <c r="O233" i="7" s="1"/>
  <c r="K233" i="7"/>
  <c r="N233" i="7" s="1"/>
  <c r="F233" i="7"/>
  <c r="I233" i="7" s="1"/>
  <c r="M232" i="7"/>
  <c r="P232" i="7" s="1"/>
  <c r="L232" i="7"/>
  <c r="O232" i="7" s="1"/>
  <c r="K232" i="7"/>
  <c r="N232" i="7" s="1"/>
  <c r="F232" i="7"/>
  <c r="M231" i="7"/>
  <c r="P231" i="7" s="1"/>
  <c r="L231" i="7"/>
  <c r="O231" i="7" s="1"/>
  <c r="K231" i="7"/>
  <c r="N231" i="7" s="1"/>
  <c r="F231" i="7"/>
  <c r="G231" i="7" s="1"/>
  <c r="M230" i="7"/>
  <c r="P230" i="7" s="1"/>
  <c r="L230" i="7"/>
  <c r="O230" i="7" s="1"/>
  <c r="K230" i="7"/>
  <c r="N230" i="7" s="1"/>
  <c r="F230" i="7"/>
  <c r="M229" i="7"/>
  <c r="P229" i="7" s="1"/>
  <c r="L229" i="7"/>
  <c r="O229" i="7" s="1"/>
  <c r="K229" i="7"/>
  <c r="N229" i="7" s="1"/>
  <c r="F229" i="7"/>
  <c r="I229" i="7" s="1"/>
  <c r="M228" i="7"/>
  <c r="P228" i="7" s="1"/>
  <c r="L228" i="7"/>
  <c r="O228" i="7" s="1"/>
  <c r="K228" i="7"/>
  <c r="N228" i="7" s="1"/>
  <c r="F228" i="7"/>
  <c r="H228" i="7" s="1"/>
  <c r="M227" i="7"/>
  <c r="P227" i="7" s="1"/>
  <c r="L227" i="7"/>
  <c r="O227" i="7" s="1"/>
  <c r="K227" i="7"/>
  <c r="N227" i="7" s="1"/>
  <c r="F227" i="7"/>
  <c r="M226" i="7"/>
  <c r="P226" i="7" s="1"/>
  <c r="L226" i="7"/>
  <c r="O226" i="7" s="1"/>
  <c r="K226" i="7"/>
  <c r="N226" i="7" s="1"/>
  <c r="F226" i="7"/>
  <c r="G226" i="7" s="1"/>
  <c r="M225" i="7"/>
  <c r="P225" i="7" s="1"/>
  <c r="L225" i="7"/>
  <c r="O225" i="7" s="1"/>
  <c r="K225" i="7"/>
  <c r="N225" i="7" s="1"/>
  <c r="F225" i="7"/>
  <c r="I225" i="7" s="1"/>
  <c r="M224" i="7"/>
  <c r="P224" i="7" s="1"/>
  <c r="L224" i="7"/>
  <c r="O224" i="7" s="1"/>
  <c r="K224" i="7"/>
  <c r="N224" i="7" s="1"/>
  <c r="F224" i="7"/>
  <c r="H224" i="7" s="1"/>
  <c r="M223" i="7"/>
  <c r="P223" i="7" s="1"/>
  <c r="L223" i="7"/>
  <c r="O223" i="7" s="1"/>
  <c r="K223" i="7"/>
  <c r="N223" i="7" s="1"/>
  <c r="F223" i="7"/>
  <c r="M222" i="7"/>
  <c r="P222" i="7" s="1"/>
  <c r="L222" i="7"/>
  <c r="O222" i="7" s="1"/>
  <c r="K222" i="7"/>
  <c r="N222" i="7" s="1"/>
  <c r="F222" i="7"/>
  <c r="I222" i="7" s="1"/>
  <c r="M221" i="7"/>
  <c r="P221" i="7" s="1"/>
  <c r="L221" i="7"/>
  <c r="O221" i="7" s="1"/>
  <c r="K221" i="7"/>
  <c r="N221" i="7" s="1"/>
  <c r="F221" i="7"/>
  <c r="I221" i="7" s="1"/>
  <c r="M220" i="7"/>
  <c r="P220" i="7" s="1"/>
  <c r="L220" i="7"/>
  <c r="O220" i="7" s="1"/>
  <c r="K220" i="7"/>
  <c r="N220" i="7" s="1"/>
  <c r="F220" i="7"/>
  <c r="M219" i="7"/>
  <c r="P219" i="7" s="1"/>
  <c r="L219" i="7"/>
  <c r="O219" i="7" s="1"/>
  <c r="K219" i="7"/>
  <c r="N219" i="7" s="1"/>
  <c r="F219" i="7"/>
  <c r="G219" i="7" s="1"/>
  <c r="M218" i="7"/>
  <c r="P218" i="7" s="1"/>
  <c r="L218" i="7"/>
  <c r="O218" i="7" s="1"/>
  <c r="K218" i="7"/>
  <c r="N218" i="7" s="1"/>
  <c r="F218" i="7"/>
  <c r="G218" i="7" s="1"/>
  <c r="M217" i="7"/>
  <c r="P217" i="7" s="1"/>
  <c r="L217" i="7"/>
  <c r="O217" i="7" s="1"/>
  <c r="K217" i="7"/>
  <c r="N217" i="7" s="1"/>
  <c r="F217" i="7"/>
  <c r="I217" i="7" s="1"/>
  <c r="M216" i="7"/>
  <c r="P216" i="7" s="1"/>
  <c r="L216" i="7"/>
  <c r="O216" i="7" s="1"/>
  <c r="K216" i="7"/>
  <c r="N216" i="7" s="1"/>
  <c r="F216" i="7"/>
  <c r="M215" i="7"/>
  <c r="P215" i="7" s="1"/>
  <c r="L215" i="7"/>
  <c r="O215" i="7" s="1"/>
  <c r="K215" i="7"/>
  <c r="N215" i="7" s="1"/>
  <c r="F215" i="7"/>
  <c r="M214" i="7"/>
  <c r="P214" i="7" s="1"/>
  <c r="L214" i="7"/>
  <c r="O214" i="7" s="1"/>
  <c r="K214" i="7"/>
  <c r="N214" i="7" s="1"/>
  <c r="F214" i="7"/>
  <c r="G214" i="7" s="1"/>
  <c r="M213" i="7"/>
  <c r="P213" i="7" s="1"/>
  <c r="L213" i="7"/>
  <c r="O213" i="7" s="1"/>
  <c r="K213" i="7"/>
  <c r="N213" i="7" s="1"/>
  <c r="F213" i="7"/>
  <c r="I213" i="7" s="1"/>
  <c r="M212" i="7"/>
  <c r="P212" i="7" s="1"/>
  <c r="L212" i="7"/>
  <c r="O212" i="7" s="1"/>
  <c r="K212" i="7"/>
  <c r="N212" i="7" s="1"/>
  <c r="F212" i="7"/>
  <c r="H212" i="7" s="1"/>
  <c r="M211" i="7"/>
  <c r="P211" i="7" s="1"/>
  <c r="L211" i="7"/>
  <c r="O211" i="7" s="1"/>
  <c r="K211" i="7"/>
  <c r="N211" i="7" s="1"/>
  <c r="F211" i="7"/>
  <c r="M210" i="7"/>
  <c r="P210" i="7" s="1"/>
  <c r="L210" i="7"/>
  <c r="O210" i="7" s="1"/>
  <c r="K210" i="7"/>
  <c r="N210" i="7" s="1"/>
  <c r="F210" i="7"/>
  <c r="G210" i="7" s="1"/>
  <c r="M209" i="7"/>
  <c r="P209" i="7" s="1"/>
  <c r="L209" i="7"/>
  <c r="O209" i="7" s="1"/>
  <c r="K209" i="7"/>
  <c r="N209" i="7" s="1"/>
  <c r="F209" i="7"/>
  <c r="I209" i="7" s="1"/>
  <c r="M208" i="7"/>
  <c r="P208" i="7" s="1"/>
  <c r="L208" i="7"/>
  <c r="O208" i="7" s="1"/>
  <c r="K208" i="7"/>
  <c r="N208" i="7" s="1"/>
  <c r="F208" i="7"/>
  <c r="I208" i="7" s="1"/>
  <c r="M207" i="7"/>
  <c r="P207" i="7" s="1"/>
  <c r="L207" i="7"/>
  <c r="O207" i="7" s="1"/>
  <c r="K207" i="7"/>
  <c r="N207" i="7" s="1"/>
  <c r="F207" i="7"/>
  <c r="M206" i="7"/>
  <c r="P206" i="7" s="1"/>
  <c r="L206" i="7"/>
  <c r="O206" i="7" s="1"/>
  <c r="K206" i="7"/>
  <c r="N206" i="7" s="1"/>
  <c r="F206" i="7"/>
  <c r="I206" i="7" s="1"/>
  <c r="M205" i="7"/>
  <c r="P205" i="7" s="1"/>
  <c r="L205" i="7"/>
  <c r="O205" i="7" s="1"/>
  <c r="K205" i="7"/>
  <c r="N205" i="7" s="1"/>
  <c r="F205" i="7"/>
  <c r="I205" i="7" s="1"/>
  <c r="M204" i="7"/>
  <c r="P204" i="7" s="1"/>
  <c r="L204" i="7"/>
  <c r="O204" i="7" s="1"/>
  <c r="K204" i="7"/>
  <c r="N204" i="7" s="1"/>
  <c r="F204" i="7"/>
  <c r="H204" i="7" s="1"/>
  <c r="M203" i="7"/>
  <c r="P203" i="7" s="1"/>
  <c r="L203" i="7"/>
  <c r="O203" i="7" s="1"/>
  <c r="K203" i="7"/>
  <c r="N203" i="7" s="1"/>
  <c r="F203" i="7"/>
  <c r="G203" i="7" s="1"/>
  <c r="M202" i="7"/>
  <c r="P202" i="7" s="1"/>
  <c r="L202" i="7"/>
  <c r="O202" i="7" s="1"/>
  <c r="K202" i="7"/>
  <c r="N202" i="7" s="1"/>
  <c r="F202" i="7"/>
  <c r="H202" i="7" s="1"/>
  <c r="M201" i="7"/>
  <c r="P201" i="7" s="1"/>
  <c r="L201" i="7"/>
  <c r="O201" i="7" s="1"/>
  <c r="K201" i="7"/>
  <c r="N201" i="7" s="1"/>
  <c r="F201" i="7"/>
  <c r="I201" i="7" s="1"/>
  <c r="M200" i="7"/>
  <c r="P200" i="7" s="1"/>
  <c r="L200" i="7"/>
  <c r="O200" i="7" s="1"/>
  <c r="K200" i="7"/>
  <c r="N200" i="7" s="1"/>
  <c r="F200" i="7"/>
  <c r="H200" i="7" s="1"/>
  <c r="M199" i="7"/>
  <c r="P199" i="7" s="1"/>
  <c r="L199" i="7"/>
  <c r="O199" i="7" s="1"/>
  <c r="K199" i="7"/>
  <c r="N199" i="7" s="1"/>
  <c r="F199" i="7"/>
  <c r="M198" i="7"/>
  <c r="P198" i="7" s="1"/>
  <c r="L198" i="7"/>
  <c r="O198" i="7" s="1"/>
  <c r="K198" i="7"/>
  <c r="N198" i="7" s="1"/>
  <c r="F198" i="7"/>
  <c r="M197" i="7"/>
  <c r="P197" i="7" s="1"/>
  <c r="L197" i="7"/>
  <c r="O197" i="7" s="1"/>
  <c r="K197" i="7"/>
  <c r="N197" i="7" s="1"/>
  <c r="F197" i="7"/>
  <c r="I197" i="7" s="1"/>
  <c r="M196" i="7"/>
  <c r="P196" i="7" s="1"/>
  <c r="L196" i="7"/>
  <c r="O196" i="7" s="1"/>
  <c r="K196" i="7"/>
  <c r="N196" i="7" s="1"/>
  <c r="F196" i="7"/>
  <c r="H196" i="7" s="1"/>
  <c r="M195" i="7"/>
  <c r="P195" i="7" s="1"/>
  <c r="L195" i="7"/>
  <c r="O195" i="7" s="1"/>
  <c r="K195" i="7"/>
  <c r="N195" i="7" s="1"/>
  <c r="F195" i="7"/>
  <c r="M194" i="7"/>
  <c r="P194" i="7" s="1"/>
  <c r="L194" i="7"/>
  <c r="O194" i="7" s="1"/>
  <c r="K194" i="7"/>
  <c r="N194" i="7" s="1"/>
  <c r="F194" i="7"/>
  <c r="H194" i="7" s="1"/>
  <c r="M193" i="7"/>
  <c r="P193" i="7" s="1"/>
  <c r="L193" i="7"/>
  <c r="O193" i="7" s="1"/>
  <c r="K193" i="7"/>
  <c r="N193" i="7" s="1"/>
  <c r="F193" i="7"/>
  <c r="I193" i="7" s="1"/>
  <c r="M192" i="7"/>
  <c r="P192" i="7" s="1"/>
  <c r="L192" i="7"/>
  <c r="O192" i="7" s="1"/>
  <c r="K192" i="7"/>
  <c r="N192" i="7" s="1"/>
  <c r="F192" i="7"/>
  <c r="I192" i="7" s="1"/>
  <c r="M191" i="7"/>
  <c r="P191" i="7" s="1"/>
  <c r="L191" i="7"/>
  <c r="O191" i="7" s="1"/>
  <c r="K191" i="7"/>
  <c r="N191" i="7" s="1"/>
  <c r="F191" i="7"/>
  <c r="M190" i="7"/>
  <c r="P190" i="7" s="1"/>
  <c r="L190" i="7"/>
  <c r="O190" i="7" s="1"/>
  <c r="K190" i="7"/>
  <c r="N190" i="7" s="1"/>
  <c r="F190" i="7"/>
  <c r="M189" i="7"/>
  <c r="P189" i="7" s="1"/>
  <c r="L189" i="7"/>
  <c r="O189" i="7" s="1"/>
  <c r="K189" i="7"/>
  <c r="N189" i="7" s="1"/>
  <c r="F189" i="7"/>
  <c r="I189" i="7" s="1"/>
  <c r="M188" i="7"/>
  <c r="P188" i="7" s="1"/>
  <c r="L188" i="7"/>
  <c r="O188" i="7" s="1"/>
  <c r="K188" i="7"/>
  <c r="N188" i="7" s="1"/>
  <c r="F188" i="7"/>
  <c r="H188" i="7" s="1"/>
  <c r="M187" i="7"/>
  <c r="P187" i="7" s="1"/>
  <c r="L187" i="7"/>
  <c r="O187" i="7" s="1"/>
  <c r="K187" i="7"/>
  <c r="N187" i="7" s="1"/>
  <c r="F187" i="7"/>
  <c r="M186" i="7"/>
  <c r="P186" i="7" s="1"/>
  <c r="L186" i="7"/>
  <c r="O186" i="7" s="1"/>
  <c r="K186" i="7"/>
  <c r="N186" i="7" s="1"/>
  <c r="F186" i="7"/>
  <c r="G186" i="7" s="1"/>
  <c r="M185" i="7"/>
  <c r="P185" i="7" s="1"/>
  <c r="L185" i="7"/>
  <c r="O185" i="7" s="1"/>
  <c r="K185" i="7"/>
  <c r="N185" i="7" s="1"/>
  <c r="F185" i="7"/>
  <c r="M184" i="7"/>
  <c r="P184" i="7" s="1"/>
  <c r="L184" i="7"/>
  <c r="O184" i="7" s="1"/>
  <c r="K184" i="7"/>
  <c r="N184" i="7" s="1"/>
  <c r="F184" i="7"/>
  <c r="H184" i="7" s="1"/>
  <c r="M183" i="7"/>
  <c r="P183" i="7" s="1"/>
  <c r="L183" i="7"/>
  <c r="O183" i="7" s="1"/>
  <c r="K183" i="7"/>
  <c r="N183" i="7" s="1"/>
  <c r="F183" i="7"/>
  <c r="M182" i="7"/>
  <c r="P182" i="7" s="1"/>
  <c r="L182" i="7"/>
  <c r="O182" i="7" s="1"/>
  <c r="K182" i="7"/>
  <c r="N182" i="7" s="1"/>
  <c r="F182" i="7"/>
  <c r="M181" i="7"/>
  <c r="P181" i="7" s="1"/>
  <c r="L181" i="7"/>
  <c r="O181" i="7" s="1"/>
  <c r="K181" i="7"/>
  <c r="N181" i="7" s="1"/>
  <c r="F181" i="7"/>
  <c r="I181" i="7" s="1"/>
  <c r="M180" i="7"/>
  <c r="P180" i="7" s="1"/>
  <c r="L180" i="7"/>
  <c r="O180" i="7" s="1"/>
  <c r="K180" i="7"/>
  <c r="N180" i="7" s="1"/>
  <c r="F180" i="7"/>
  <c r="H180" i="7" s="1"/>
  <c r="M166" i="7"/>
  <c r="P166" i="7" s="1"/>
  <c r="L166" i="7"/>
  <c r="O166" i="7" s="1"/>
  <c r="K166" i="7"/>
  <c r="N166" i="7" s="1"/>
  <c r="F166" i="7"/>
  <c r="M165" i="7"/>
  <c r="P165" i="7" s="1"/>
  <c r="L165" i="7"/>
  <c r="O165" i="7" s="1"/>
  <c r="K165" i="7"/>
  <c r="N165" i="7" s="1"/>
  <c r="F165" i="7"/>
  <c r="I165" i="7" s="1"/>
  <c r="M164" i="7"/>
  <c r="P164" i="7" s="1"/>
  <c r="L164" i="7"/>
  <c r="O164" i="7" s="1"/>
  <c r="K164" i="7"/>
  <c r="N164" i="7" s="1"/>
  <c r="F164" i="7"/>
  <c r="H164" i="7" s="1"/>
  <c r="M163" i="7"/>
  <c r="P163" i="7" s="1"/>
  <c r="L163" i="7"/>
  <c r="O163" i="7" s="1"/>
  <c r="K163" i="7"/>
  <c r="N163" i="7" s="1"/>
  <c r="F163" i="7"/>
  <c r="M162" i="7"/>
  <c r="P162" i="7" s="1"/>
  <c r="L162" i="7"/>
  <c r="O162" i="7" s="1"/>
  <c r="K162" i="7"/>
  <c r="N162" i="7" s="1"/>
  <c r="F162" i="7"/>
  <c r="M161" i="7"/>
  <c r="P161" i="7" s="1"/>
  <c r="L161" i="7"/>
  <c r="O161" i="7" s="1"/>
  <c r="K161" i="7"/>
  <c r="N161" i="7" s="1"/>
  <c r="F161" i="7"/>
  <c r="M160" i="7"/>
  <c r="P160" i="7" s="1"/>
  <c r="L160" i="7"/>
  <c r="O160" i="7" s="1"/>
  <c r="K160" i="7"/>
  <c r="N160" i="7" s="1"/>
  <c r="F160" i="7"/>
  <c r="M159" i="7"/>
  <c r="P159" i="7" s="1"/>
  <c r="L159" i="7"/>
  <c r="O159" i="7" s="1"/>
  <c r="K159" i="7"/>
  <c r="N159" i="7" s="1"/>
  <c r="F159" i="7"/>
  <c r="G159" i="7" s="1"/>
  <c r="M158" i="7"/>
  <c r="P158" i="7" s="1"/>
  <c r="L158" i="7"/>
  <c r="O158" i="7" s="1"/>
  <c r="K158" i="7"/>
  <c r="N158" i="7" s="1"/>
  <c r="F158" i="7"/>
  <c r="M157" i="7"/>
  <c r="P157" i="7" s="1"/>
  <c r="L157" i="7"/>
  <c r="O157" i="7" s="1"/>
  <c r="K157" i="7"/>
  <c r="N157" i="7" s="1"/>
  <c r="F157" i="7"/>
  <c r="I157" i="7" s="1"/>
  <c r="M156" i="7"/>
  <c r="P156" i="7" s="1"/>
  <c r="L156" i="7"/>
  <c r="O156" i="7" s="1"/>
  <c r="K156" i="7"/>
  <c r="N156" i="7" s="1"/>
  <c r="F156" i="7"/>
  <c r="H156" i="7" s="1"/>
  <c r="M155" i="7"/>
  <c r="P155" i="7" s="1"/>
  <c r="L155" i="7"/>
  <c r="O155" i="7" s="1"/>
  <c r="K155" i="7"/>
  <c r="N155" i="7" s="1"/>
  <c r="F155" i="7"/>
  <c r="M154" i="7"/>
  <c r="P154" i="7" s="1"/>
  <c r="L154" i="7"/>
  <c r="O154" i="7" s="1"/>
  <c r="K154" i="7"/>
  <c r="N154" i="7" s="1"/>
  <c r="F154" i="7"/>
  <c r="M153" i="7"/>
  <c r="P153" i="7" s="1"/>
  <c r="L153" i="7"/>
  <c r="O153" i="7" s="1"/>
  <c r="K153" i="7"/>
  <c r="N153" i="7" s="1"/>
  <c r="F153" i="7"/>
  <c r="H153" i="7" s="1"/>
  <c r="M152" i="7"/>
  <c r="P152" i="7" s="1"/>
  <c r="L152" i="7"/>
  <c r="O152" i="7" s="1"/>
  <c r="K152" i="7"/>
  <c r="N152" i="7" s="1"/>
  <c r="F152" i="7"/>
  <c r="H152" i="7" s="1"/>
  <c r="M151" i="7"/>
  <c r="P151" i="7" s="1"/>
  <c r="L151" i="7"/>
  <c r="O151" i="7" s="1"/>
  <c r="K151" i="7"/>
  <c r="N151" i="7" s="1"/>
  <c r="F151" i="7"/>
  <c r="M150" i="7"/>
  <c r="P150" i="7" s="1"/>
  <c r="L150" i="7"/>
  <c r="O150" i="7" s="1"/>
  <c r="K150" i="7"/>
  <c r="N150" i="7" s="1"/>
  <c r="F150" i="7"/>
  <c r="G150" i="7" s="1"/>
  <c r="M149" i="7"/>
  <c r="P149" i="7" s="1"/>
  <c r="L149" i="7"/>
  <c r="O149" i="7" s="1"/>
  <c r="K149" i="7"/>
  <c r="N149" i="7" s="1"/>
  <c r="F149" i="7"/>
  <c r="I149" i="7" s="1"/>
  <c r="M148" i="7"/>
  <c r="P148" i="7" s="1"/>
  <c r="L148" i="7"/>
  <c r="O148" i="7" s="1"/>
  <c r="K148" i="7"/>
  <c r="N148" i="7" s="1"/>
  <c r="F148" i="7"/>
  <c r="H148" i="7" s="1"/>
  <c r="M147" i="7"/>
  <c r="P147" i="7" s="1"/>
  <c r="L147" i="7"/>
  <c r="O147" i="7" s="1"/>
  <c r="K147" i="7"/>
  <c r="N147" i="7" s="1"/>
  <c r="F147" i="7"/>
  <c r="M146" i="7"/>
  <c r="P146" i="7" s="1"/>
  <c r="L146" i="7"/>
  <c r="O146" i="7" s="1"/>
  <c r="K146" i="7"/>
  <c r="N146" i="7" s="1"/>
  <c r="F146" i="7"/>
  <c r="M145" i="7"/>
  <c r="P145" i="7" s="1"/>
  <c r="L145" i="7"/>
  <c r="O145" i="7" s="1"/>
  <c r="K145" i="7"/>
  <c r="N145" i="7" s="1"/>
  <c r="F145" i="7"/>
  <c r="G145" i="7" s="1"/>
  <c r="M144" i="7"/>
  <c r="P144" i="7" s="1"/>
  <c r="L144" i="7"/>
  <c r="O144" i="7" s="1"/>
  <c r="K144" i="7"/>
  <c r="N144" i="7" s="1"/>
  <c r="F144" i="7"/>
  <c r="H144" i="7" s="1"/>
  <c r="M143" i="7"/>
  <c r="P143" i="7" s="1"/>
  <c r="L143" i="7"/>
  <c r="O143" i="7" s="1"/>
  <c r="K143" i="7"/>
  <c r="N143" i="7" s="1"/>
  <c r="F143" i="7"/>
  <c r="I143" i="7" s="1"/>
  <c r="M142" i="7"/>
  <c r="P142" i="7" s="1"/>
  <c r="L142" i="7"/>
  <c r="O142" i="7" s="1"/>
  <c r="K142" i="7"/>
  <c r="N142" i="7" s="1"/>
  <c r="F142" i="7"/>
  <c r="M141" i="7"/>
  <c r="P141" i="7" s="1"/>
  <c r="L141" i="7"/>
  <c r="O141" i="7" s="1"/>
  <c r="K141" i="7"/>
  <c r="N141" i="7" s="1"/>
  <c r="F141" i="7"/>
  <c r="I141" i="7" s="1"/>
  <c r="M140" i="7"/>
  <c r="P140" i="7" s="1"/>
  <c r="L140" i="7"/>
  <c r="O140" i="7" s="1"/>
  <c r="K140" i="7"/>
  <c r="N140" i="7" s="1"/>
  <c r="F140" i="7"/>
  <c r="M139" i="7"/>
  <c r="P139" i="7" s="1"/>
  <c r="L139" i="7"/>
  <c r="O139" i="7" s="1"/>
  <c r="K139" i="7"/>
  <c r="N139" i="7" s="1"/>
  <c r="F139" i="7"/>
  <c r="M138" i="7"/>
  <c r="P138" i="7" s="1"/>
  <c r="L138" i="7"/>
  <c r="O138" i="7" s="1"/>
  <c r="K138" i="7"/>
  <c r="N138" i="7" s="1"/>
  <c r="F138" i="7"/>
  <c r="M137" i="7"/>
  <c r="P137" i="7" s="1"/>
  <c r="L137" i="7"/>
  <c r="O137" i="7" s="1"/>
  <c r="K137" i="7"/>
  <c r="N137" i="7" s="1"/>
  <c r="F137" i="7"/>
  <c r="M136" i="7"/>
  <c r="P136" i="7" s="1"/>
  <c r="L136" i="7"/>
  <c r="O136" i="7" s="1"/>
  <c r="K136" i="7"/>
  <c r="N136" i="7" s="1"/>
  <c r="F136" i="7"/>
  <c r="H136" i="7" s="1"/>
  <c r="M135" i="7"/>
  <c r="P135" i="7" s="1"/>
  <c r="L135" i="7"/>
  <c r="O135" i="7" s="1"/>
  <c r="K135" i="7"/>
  <c r="N135" i="7" s="1"/>
  <c r="F135" i="7"/>
  <c r="M134" i="7"/>
  <c r="P134" i="7" s="1"/>
  <c r="L134" i="7"/>
  <c r="O134" i="7" s="1"/>
  <c r="K134" i="7"/>
  <c r="N134" i="7" s="1"/>
  <c r="F134" i="7"/>
  <c r="M133" i="7"/>
  <c r="P133" i="7" s="1"/>
  <c r="L133" i="7"/>
  <c r="O133" i="7" s="1"/>
  <c r="K133" i="7"/>
  <c r="N133" i="7" s="1"/>
  <c r="F133" i="7"/>
  <c r="I133" i="7" s="1"/>
  <c r="M132" i="7"/>
  <c r="P132" i="7" s="1"/>
  <c r="L132" i="7"/>
  <c r="O132" i="7" s="1"/>
  <c r="K132" i="7"/>
  <c r="N132" i="7" s="1"/>
  <c r="F132" i="7"/>
  <c r="M131" i="7"/>
  <c r="P131" i="7" s="1"/>
  <c r="L131" i="7"/>
  <c r="O131" i="7" s="1"/>
  <c r="K131" i="7"/>
  <c r="N131" i="7" s="1"/>
  <c r="F131" i="7"/>
  <c r="M130" i="7"/>
  <c r="P130" i="7" s="1"/>
  <c r="L130" i="7"/>
  <c r="O130" i="7" s="1"/>
  <c r="K130" i="7"/>
  <c r="N130" i="7" s="1"/>
  <c r="F130" i="7"/>
  <c r="G130" i="7" s="1"/>
  <c r="M129" i="7"/>
  <c r="P129" i="7" s="1"/>
  <c r="L129" i="7"/>
  <c r="O129" i="7" s="1"/>
  <c r="K129" i="7"/>
  <c r="N129" i="7" s="1"/>
  <c r="F129" i="7"/>
  <c r="M128" i="7"/>
  <c r="P128" i="7" s="1"/>
  <c r="L128" i="7"/>
  <c r="O128" i="7" s="1"/>
  <c r="K128" i="7"/>
  <c r="N128" i="7" s="1"/>
  <c r="F128" i="7"/>
  <c r="H128" i="7" s="1"/>
  <c r="M127" i="7"/>
  <c r="P127" i="7" s="1"/>
  <c r="L127" i="7"/>
  <c r="O127" i="7" s="1"/>
  <c r="K127" i="7"/>
  <c r="N127" i="7" s="1"/>
  <c r="F127" i="7"/>
  <c r="H127" i="7" s="1"/>
  <c r="M126" i="7"/>
  <c r="P126" i="7" s="1"/>
  <c r="L126" i="7"/>
  <c r="O126" i="7" s="1"/>
  <c r="K126" i="7"/>
  <c r="N126" i="7" s="1"/>
  <c r="F126" i="7"/>
  <c r="G126" i="7" s="1"/>
  <c r="M125" i="7"/>
  <c r="P125" i="7" s="1"/>
  <c r="L125" i="7"/>
  <c r="O125" i="7" s="1"/>
  <c r="K125" i="7"/>
  <c r="N125" i="7" s="1"/>
  <c r="F125" i="7"/>
  <c r="I125" i="7" s="1"/>
  <c r="M124" i="7"/>
  <c r="P124" i="7" s="1"/>
  <c r="L124" i="7"/>
  <c r="O124" i="7" s="1"/>
  <c r="K124" i="7"/>
  <c r="N124" i="7" s="1"/>
  <c r="F124" i="7"/>
  <c r="H124" i="7" s="1"/>
  <c r="M123" i="7"/>
  <c r="P123" i="7" s="1"/>
  <c r="L123" i="7"/>
  <c r="O123" i="7" s="1"/>
  <c r="K123" i="7"/>
  <c r="N123" i="7" s="1"/>
  <c r="F123" i="7"/>
  <c r="M122" i="7"/>
  <c r="P122" i="7" s="1"/>
  <c r="L122" i="7"/>
  <c r="O122" i="7" s="1"/>
  <c r="K122" i="7"/>
  <c r="N122" i="7" s="1"/>
  <c r="F122" i="7"/>
  <c r="M121" i="7"/>
  <c r="P121" i="7" s="1"/>
  <c r="L121" i="7"/>
  <c r="O121" i="7" s="1"/>
  <c r="K121" i="7"/>
  <c r="N121" i="7" s="1"/>
  <c r="F121" i="7"/>
  <c r="M120" i="7"/>
  <c r="P120" i="7" s="1"/>
  <c r="L120" i="7"/>
  <c r="O120" i="7" s="1"/>
  <c r="K120" i="7"/>
  <c r="N120" i="7" s="1"/>
  <c r="F120" i="7"/>
  <c r="M119" i="7"/>
  <c r="P119" i="7" s="1"/>
  <c r="L119" i="7"/>
  <c r="O119" i="7" s="1"/>
  <c r="K119" i="7"/>
  <c r="N119" i="7" s="1"/>
  <c r="F119" i="7"/>
  <c r="M118" i="7"/>
  <c r="P118" i="7" s="1"/>
  <c r="L118" i="7"/>
  <c r="O118" i="7" s="1"/>
  <c r="K118" i="7"/>
  <c r="N118" i="7" s="1"/>
  <c r="F118" i="7"/>
  <c r="M117" i="7"/>
  <c r="P117" i="7" s="1"/>
  <c r="L117" i="7"/>
  <c r="O117" i="7" s="1"/>
  <c r="K117" i="7"/>
  <c r="N117" i="7" s="1"/>
  <c r="F117" i="7"/>
  <c r="I117" i="7" s="1"/>
  <c r="M116" i="7"/>
  <c r="P116" i="7" s="1"/>
  <c r="L116" i="7"/>
  <c r="O116" i="7" s="1"/>
  <c r="K116" i="7"/>
  <c r="N116" i="7" s="1"/>
  <c r="F116" i="7"/>
  <c r="H116" i="7" s="1"/>
  <c r="M115" i="7"/>
  <c r="P115" i="7" s="1"/>
  <c r="L115" i="7"/>
  <c r="O115" i="7" s="1"/>
  <c r="K115" i="7"/>
  <c r="N115" i="7" s="1"/>
  <c r="F115" i="7"/>
  <c r="M114" i="7"/>
  <c r="P114" i="7" s="1"/>
  <c r="L114" i="7"/>
  <c r="O114" i="7" s="1"/>
  <c r="K114" i="7"/>
  <c r="N114" i="7" s="1"/>
  <c r="F114" i="7"/>
  <c r="H114" i="7" s="1"/>
  <c r="M113" i="7"/>
  <c r="P113" i="7" s="1"/>
  <c r="L113" i="7"/>
  <c r="O113" i="7" s="1"/>
  <c r="K113" i="7"/>
  <c r="N113" i="7" s="1"/>
  <c r="F113" i="7"/>
  <c r="M112" i="7"/>
  <c r="P112" i="7" s="1"/>
  <c r="L112" i="7"/>
  <c r="O112" i="7" s="1"/>
  <c r="K112" i="7"/>
  <c r="N112" i="7" s="1"/>
  <c r="F112" i="7"/>
  <c r="H112" i="7" s="1"/>
  <c r="M111" i="7"/>
  <c r="P111" i="7" s="1"/>
  <c r="L111" i="7"/>
  <c r="O111" i="7" s="1"/>
  <c r="K111" i="7"/>
  <c r="N111" i="7" s="1"/>
  <c r="F111" i="7"/>
  <c r="M110" i="7"/>
  <c r="P110" i="7" s="1"/>
  <c r="L110" i="7"/>
  <c r="O110" i="7" s="1"/>
  <c r="K110" i="7"/>
  <c r="N110" i="7" s="1"/>
  <c r="F110" i="7"/>
  <c r="M109" i="7"/>
  <c r="P109" i="7" s="1"/>
  <c r="L109" i="7"/>
  <c r="O109" i="7" s="1"/>
  <c r="K109" i="7"/>
  <c r="N109" i="7" s="1"/>
  <c r="F109" i="7"/>
  <c r="I109" i="7" s="1"/>
  <c r="M108" i="7"/>
  <c r="P108" i="7" s="1"/>
  <c r="L108" i="7"/>
  <c r="O108" i="7" s="1"/>
  <c r="K108" i="7"/>
  <c r="N108" i="7" s="1"/>
  <c r="F108" i="7"/>
  <c r="H108" i="7" s="1"/>
  <c r="M107" i="7"/>
  <c r="P107" i="7" s="1"/>
  <c r="L107" i="7"/>
  <c r="O107" i="7" s="1"/>
  <c r="K107" i="7"/>
  <c r="N107" i="7" s="1"/>
  <c r="F107" i="7"/>
  <c r="M106" i="7"/>
  <c r="P106" i="7" s="1"/>
  <c r="L106" i="7"/>
  <c r="O106" i="7" s="1"/>
  <c r="K106" i="7"/>
  <c r="N106" i="7" s="1"/>
  <c r="F106" i="7"/>
  <c r="G106" i="7" s="1"/>
  <c r="M105" i="7"/>
  <c r="P105" i="7" s="1"/>
  <c r="L105" i="7"/>
  <c r="O105" i="7" s="1"/>
  <c r="K105" i="7"/>
  <c r="N105" i="7" s="1"/>
  <c r="F105" i="7"/>
  <c r="M104" i="7"/>
  <c r="P104" i="7" s="1"/>
  <c r="L104" i="7"/>
  <c r="O104" i="7" s="1"/>
  <c r="K104" i="7"/>
  <c r="N104" i="7" s="1"/>
  <c r="F104" i="7"/>
  <c r="H104" i="7" s="1"/>
  <c r="M103" i="7"/>
  <c r="P103" i="7" s="1"/>
  <c r="L103" i="7"/>
  <c r="O103" i="7" s="1"/>
  <c r="K103" i="7"/>
  <c r="N103" i="7" s="1"/>
  <c r="F103" i="7"/>
  <c r="I103" i="7" s="1"/>
  <c r="M102" i="7"/>
  <c r="P102" i="7" s="1"/>
  <c r="L102" i="7"/>
  <c r="O102" i="7" s="1"/>
  <c r="K102" i="7"/>
  <c r="N102" i="7" s="1"/>
  <c r="F102" i="7"/>
  <c r="M101" i="7"/>
  <c r="P101" i="7" s="1"/>
  <c r="L101" i="7"/>
  <c r="O101" i="7" s="1"/>
  <c r="K101" i="7"/>
  <c r="N101" i="7" s="1"/>
  <c r="F101" i="7"/>
  <c r="I101" i="7" s="1"/>
  <c r="M100" i="7"/>
  <c r="P100" i="7" s="1"/>
  <c r="L100" i="7"/>
  <c r="O100" i="7" s="1"/>
  <c r="K100" i="7"/>
  <c r="N100" i="7" s="1"/>
  <c r="F100" i="7"/>
  <c r="H100" i="7" s="1"/>
  <c r="M99" i="7"/>
  <c r="P99" i="7" s="1"/>
  <c r="L99" i="7"/>
  <c r="O99" i="7" s="1"/>
  <c r="K99" i="7"/>
  <c r="N99" i="7" s="1"/>
  <c r="F99" i="7"/>
  <c r="I99" i="7" s="1"/>
  <c r="M98" i="7"/>
  <c r="P98" i="7" s="1"/>
  <c r="L98" i="7"/>
  <c r="O98" i="7" s="1"/>
  <c r="K98" i="7"/>
  <c r="N98" i="7" s="1"/>
  <c r="F98" i="7"/>
  <c r="I98" i="7" s="1"/>
  <c r="M97" i="7"/>
  <c r="P97" i="7" s="1"/>
  <c r="L97" i="7"/>
  <c r="O97" i="7" s="1"/>
  <c r="K97" i="7"/>
  <c r="N97" i="7" s="1"/>
  <c r="F97" i="7"/>
  <c r="G97" i="7" s="1"/>
  <c r="M96" i="7"/>
  <c r="P96" i="7" s="1"/>
  <c r="L96" i="7"/>
  <c r="O96" i="7" s="1"/>
  <c r="K96" i="7"/>
  <c r="N96" i="7" s="1"/>
  <c r="F96" i="7"/>
  <c r="H96" i="7" s="1"/>
  <c r="M95" i="7"/>
  <c r="P95" i="7" s="1"/>
  <c r="L95" i="7"/>
  <c r="O95" i="7" s="1"/>
  <c r="K95" i="7"/>
  <c r="N95" i="7" s="1"/>
  <c r="F95" i="7"/>
  <c r="I95" i="7" s="1"/>
  <c r="M94" i="7"/>
  <c r="P94" i="7" s="1"/>
  <c r="L94" i="7"/>
  <c r="O94" i="7" s="1"/>
  <c r="K94" i="7"/>
  <c r="N94" i="7" s="1"/>
  <c r="F94" i="7"/>
  <c r="M93" i="7"/>
  <c r="P93" i="7" s="1"/>
  <c r="L93" i="7"/>
  <c r="O93" i="7" s="1"/>
  <c r="K93" i="7"/>
  <c r="N93" i="7" s="1"/>
  <c r="F93" i="7"/>
  <c r="I93" i="7" s="1"/>
  <c r="M92" i="7"/>
  <c r="P92" i="7" s="1"/>
  <c r="L92" i="7"/>
  <c r="O92" i="7" s="1"/>
  <c r="K92" i="7"/>
  <c r="N92" i="7" s="1"/>
  <c r="F92" i="7"/>
  <c r="M91" i="7"/>
  <c r="P91" i="7" s="1"/>
  <c r="L91" i="7"/>
  <c r="O91" i="7" s="1"/>
  <c r="K91" i="7"/>
  <c r="N91" i="7" s="1"/>
  <c r="F91" i="7"/>
  <c r="M90" i="7"/>
  <c r="P90" i="7" s="1"/>
  <c r="L90" i="7"/>
  <c r="O90" i="7" s="1"/>
  <c r="K90" i="7"/>
  <c r="N90" i="7" s="1"/>
  <c r="F90" i="7"/>
  <c r="M89" i="7"/>
  <c r="P89" i="7" s="1"/>
  <c r="L89" i="7"/>
  <c r="O89" i="7" s="1"/>
  <c r="K89" i="7"/>
  <c r="N89" i="7" s="1"/>
  <c r="F89" i="7"/>
  <c r="M88" i="7"/>
  <c r="P88" i="7" s="1"/>
  <c r="L88" i="7"/>
  <c r="O88" i="7" s="1"/>
  <c r="K88" i="7"/>
  <c r="N88" i="7" s="1"/>
  <c r="F88" i="7"/>
  <c r="H88" i="7" s="1"/>
  <c r="M87" i="7"/>
  <c r="P87" i="7" s="1"/>
  <c r="L87" i="7"/>
  <c r="O87" i="7" s="1"/>
  <c r="K87" i="7"/>
  <c r="N87" i="7" s="1"/>
  <c r="F87" i="7"/>
  <c r="M86" i="7"/>
  <c r="P86" i="7" s="1"/>
  <c r="L86" i="7"/>
  <c r="O86" i="7" s="1"/>
  <c r="K86" i="7"/>
  <c r="N86" i="7" s="1"/>
  <c r="F86" i="7"/>
  <c r="I86" i="7" s="1"/>
  <c r="M85" i="7"/>
  <c r="P85" i="7" s="1"/>
  <c r="L85" i="7"/>
  <c r="O85" i="7" s="1"/>
  <c r="K85" i="7"/>
  <c r="N85" i="7" s="1"/>
  <c r="F85" i="7"/>
  <c r="M84" i="7"/>
  <c r="P84" i="7" s="1"/>
  <c r="L84" i="7"/>
  <c r="O84" i="7" s="1"/>
  <c r="K84" i="7"/>
  <c r="N84" i="7" s="1"/>
  <c r="F84" i="7"/>
  <c r="M83" i="7"/>
  <c r="P83" i="7" s="1"/>
  <c r="L83" i="7"/>
  <c r="O83" i="7" s="1"/>
  <c r="K83" i="7"/>
  <c r="N83" i="7" s="1"/>
  <c r="F83" i="7"/>
  <c r="I83" i="7" s="1"/>
  <c r="M82" i="7"/>
  <c r="P82" i="7" s="1"/>
  <c r="L82" i="7"/>
  <c r="O82" i="7" s="1"/>
  <c r="K82" i="7"/>
  <c r="N82" i="7" s="1"/>
  <c r="F82" i="7"/>
  <c r="I82" i="7" s="1"/>
  <c r="M81" i="7"/>
  <c r="P81" i="7" s="1"/>
  <c r="L81" i="7"/>
  <c r="O81" i="7" s="1"/>
  <c r="K81" i="7"/>
  <c r="N81" i="7" s="1"/>
  <c r="F81" i="7"/>
  <c r="M80" i="7"/>
  <c r="P80" i="7" s="1"/>
  <c r="L80" i="7"/>
  <c r="O80" i="7" s="1"/>
  <c r="K80" i="7"/>
  <c r="N80" i="7" s="1"/>
  <c r="F80" i="7"/>
  <c r="H80" i="7" s="1"/>
  <c r="F65" i="7"/>
  <c r="G65" i="7" s="1"/>
  <c r="K65" i="7"/>
  <c r="N65" i="7" s="1"/>
  <c r="L65" i="7"/>
  <c r="O65" i="7" s="1"/>
  <c r="M65" i="7"/>
  <c r="P65" i="7" s="1"/>
  <c r="F66" i="7"/>
  <c r="K66" i="7"/>
  <c r="N66" i="7" s="1"/>
  <c r="L66" i="7"/>
  <c r="O66" i="7" s="1"/>
  <c r="M66" i="7"/>
  <c r="P66" i="7" s="1"/>
  <c r="F67" i="7"/>
  <c r="K67" i="7"/>
  <c r="N67" i="7" s="1"/>
  <c r="L67" i="7"/>
  <c r="O67" i="7" s="1"/>
  <c r="M67" i="7"/>
  <c r="P67" i="7" s="1"/>
  <c r="F68" i="7"/>
  <c r="G68" i="7" s="1"/>
  <c r="K68" i="7"/>
  <c r="N68" i="7" s="1"/>
  <c r="L68" i="7"/>
  <c r="O68" i="7" s="1"/>
  <c r="M68" i="7"/>
  <c r="P68" i="7" s="1"/>
  <c r="F64" i="7"/>
  <c r="G64" i="7" s="1"/>
  <c r="K64" i="7"/>
  <c r="N64" i="7" s="1"/>
  <c r="L64" i="7"/>
  <c r="O64" i="7" s="1"/>
  <c r="M64" i="7"/>
  <c r="P64" i="7" s="1"/>
  <c r="M63" i="7"/>
  <c r="P63" i="7" s="1"/>
  <c r="L63" i="7"/>
  <c r="O63" i="7" s="1"/>
  <c r="K63" i="7"/>
  <c r="N63" i="7" s="1"/>
  <c r="F63" i="7"/>
  <c r="H63" i="7" s="1"/>
  <c r="M62" i="7"/>
  <c r="P62" i="7" s="1"/>
  <c r="L62" i="7"/>
  <c r="O62" i="7" s="1"/>
  <c r="K62" i="7"/>
  <c r="N62" i="7" s="1"/>
  <c r="F62" i="7"/>
  <c r="I62" i="7" s="1"/>
  <c r="M61" i="7"/>
  <c r="P61" i="7" s="1"/>
  <c r="L61" i="7"/>
  <c r="O61" i="7" s="1"/>
  <c r="K61" i="7"/>
  <c r="N61" i="7" s="1"/>
  <c r="F61" i="7"/>
  <c r="I61" i="7" s="1"/>
  <c r="M60" i="7"/>
  <c r="P60" i="7" s="1"/>
  <c r="L60" i="7"/>
  <c r="O60" i="7" s="1"/>
  <c r="K60" i="7"/>
  <c r="N60" i="7" s="1"/>
  <c r="F60" i="7"/>
  <c r="I60" i="7" s="1"/>
  <c r="M59" i="7"/>
  <c r="P59" i="7" s="1"/>
  <c r="L59" i="7"/>
  <c r="O59" i="7" s="1"/>
  <c r="K59" i="7"/>
  <c r="N59" i="7" s="1"/>
  <c r="F59" i="7"/>
  <c r="M58" i="7"/>
  <c r="P58" i="7" s="1"/>
  <c r="L58" i="7"/>
  <c r="O58" i="7" s="1"/>
  <c r="K58" i="7"/>
  <c r="N58" i="7" s="1"/>
  <c r="F58" i="7"/>
  <c r="H58" i="7" s="1"/>
  <c r="M57" i="7"/>
  <c r="P57" i="7" s="1"/>
  <c r="L57" i="7"/>
  <c r="O57" i="7" s="1"/>
  <c r="K57" i="7"/>
  <c r="N57" i="7" s="1"/>
  <c r="F57" i="7"/>
  <c r="M56" i="7"/>
  <c r="P56" i="7" s="1"/>
  <c r="L56" i="7"/>
  <c r="O56" i="7" s="1"/>
  <c r="K56" i="7"/>
  <c r="N56" i="7" s="1"/>
  <c r="F56" i="7"/>
  <c r="H56" i="7" s="1"/>
  <c r="M55" i="7"/>
  <c r="P55" i="7" s="1"/>
  <c r="L55" i="7"/>
  <c r="O55" i="7" s="1"/>
  <c r="K55" i="7"/>
  <c r="N55" i="7" s="1"/>
  <c r="F55" i="7"/>
  <c r="I55" i="7" s="1"/>
  <c r="M54" i="7"/>
  <c r="P54" i="7" s="1"/>
  <c r="L54" i="7"/>
  <c r="O54" i="7" s="1"/>
  <c r="K54" i="7"/>
  <c r="N54" i="7" s="1"/>
  <c r="F54" i="7"/>
  <c r="M53" i="7"/>
  <c r="P53" i="7" s="1"/>
  <c r="L53" i="7"/>
  <c r="O53" i="7" s="1"/>
  <c r="K53" i="7"/>
  <c r="N53" i="7" s="1"/>
  <c r="F53" i="7"/>
  <c r="G53" i="7" s="1"/>
  <c r="M52" i="7"/>
  <c r="P52" i="7" s="1"/>
  <c r="L52" i="7"/>
  <c r="O52" i="7" s="1"/>
  <c r="K52" i="7"/>
  <c r="N52" i="7" s="1"/>
  <c r="F52" i="7"/>
  <c r="M51" i="7"/>
  <c r="P51" i="7" s="1"/>
  <c r="L51" i="7"/>
  <c r="O51" i="7" s="1"/>
  <c r="K51" i="7"/>
  <c r="N51" i="7" s="1"/>
  <c r="F51" i="7"/>
  <c r="H51" i="7" s="1"/>
  <c r="M50" i="7"/>
  <c r="P50" i="7" s="1"/>
  <c r="L50" i="7"/>
  <c r="O50" i="7" s="1"/>
  <c r="K50" i="7"/>
  <c r="N50" i="7" s="1"/>
  <c r="F50" i="7"/>
  <c r="M49" i="7"/>
  <c r="P49" i="7" s="1"/>
  <c r="L49" i="7"/>
  <c r="O49" i="7" s="1"/>
  <c r="K49" i="7"/>
  <c r="N49" i="7" s="1"/>
  <c r="F49" i="7"/>
  <c r="G49" i="7" s="1"/>
  <c r="M48" i="7"/>
  <c r="P48" i="7" s="1"/>
  <c r="L48" i="7"/>
  <c r="O48" i="7" s="1"/>
  <c r="K48" i="7"/>
  <c r="N48" i="7" s="1"/>
  <c r="F48" i="7"/>
  <c r="H48" i="7" s="1"/>
  <c r="M47" i="7"/>
  <c r="P47" i="7" s="1"/>
  <c r="L47" i="7"/>
  <c r="O47" i="7" s="1"/>
  <c r="K47" i="7"/>
  <c r="N47" i="7" s="1"/>
  <c r="F47" i="7"/>
  <c r="M46" i="7"/>
  <c r="P46" i="7" s="1"/>
  <c r="L46" i="7"/>
  <c r="O46" i="7" s="1"/>
  <c r="K46" i="7"/>
  <c r="N46" i="7" s="1"/>
  <c r="F46" i="7"/>
  <c r="I46" i="7" s="1"/>
  <c r="M45" i="7"/>
  <c r="P45" i="7" s="1"/>
  <c r="L45" i="7"/>
  <c r="O45" i="7" s="1"/>
  <c r="K45" i="7"/>
  <c r="N45" i="7" s="1"/>
  <c r="F45" i="7"/>
  <c r="I45" i="7" s="1"/>
  <c r="M44" i="7"/>
  <c r="P44" i="7" s="1"/>
  <c r="L44" i="7"/>
  <c r="O44" i="7" s="1"/>
  <c r="K44" i="7"/>
  <c r="N44" i="7" s="1"/>
  <c r="F44" i="7"/>
  <c r="G44" i="7" s="1"/>
  <c r="M43" i="7"/>
  <c r="P43" i="7" s="1"/>
  <c r="L43" i="7"/>
  <c r="O43" i="7" s="1"/>
  <c r="K43" i="7"/>
  <c r="N43" i="7" s="1"/>
  <c r="F43" i="7"/>
  <c r="M42" i="7"/>
  <c r="P42" i="7" s="1"/>
  <c r="L42" i="7"/>
  <c r="O42" i="7" s="1"/>
  <c r="K42" i="7"/>
  <c r="N42" i="7" s="1"/>
  <c r="F42" i="7"/>
  <c r="M41" i="7"/>
  <c r="P41" i="7" s="1"/>
  <c r="L41" i="7"/>
  <c r="O41" i="7" s="1"/>
  <c r="K41" i="7"/>
  <c r="N41" i="7" s="1"/>
  <c r="F41" i="7"/>
  <c r="M40" i="7"/>
  <c r="P40" i="7" s="1"/>
  <c r="L40" i="7"/>
  <c r="O40" i="7" s="1"/>
  <c r="K40" i="7"/>
  <c r="N40" i="7" s="1"/>
  <c r="F40" i="7"/>
  <c r="G40" i="7" s="1"/>
  <c r="M39" i="7"/>
  <c r="P39" i="7" s="1"/>
  <c r="L39" i="7"/>
  <c r="O39" i="7" s="1"/>
  <c r="K39" i="7"/>
  <c r="N39" i="7" s="1"/>
  <c r="F39" i="7"/>
  <c r="I39" i="7" s="1"/>
  <c r="M38" i="7"/>
  <c r="P38" i="7" s="1"/>
  <c r="L38" i="7"/>
  <c r="O38" i="7" s="1"/>
  <c r="K38" i="7"/>
  <c r="N38" i="7" s="1"/>
  <c r="F38" i="7"/>
  <c r="I38" i="7" s="1"/>
  <c r="M37" i="7"/>
  <c r="P37" i="7" s="1"/>
  <c r="L37" i="7"/>
  <c r="O37" i="7" s="1"/>
  <c r="K37" i="7"/>
  <c r="N37" i="7" s="1"/>
  <c r="F37" i="7"/>
  <c r="G37" i="7" s="1"/>
  <c r="M36" i="7"/>
  <c r="P36" i="7" s="1"/>
  <c r="L36" i="7"/>
  <c r="O36" i="7" s="1"/>
  <c r="K36" i="7"/>
  <c r="N36" i="7" s="1"/>
  <c r="F36" i="7"/>
  <c r="G36" i="7" s="1"/>
  <c r="M35" i="7"/>
  <c r="P35" i="7" s="1"/>
  <c r="L35" i="7"/>
  <c r="O35" i="7" s="1"/>
  <c r="K35" i="7"/>
  <c r="N35" i="7" s="1"/>
  <c r="F35" i="7"/>
  <c r="H35" i="7" s="1"/>
  <c r="M34" i="7"/>
  <c r="P34" i="7" s="1"/>
  <c r="L34" i="7"/>
  <c r="O34" i="7" s="1"/>
  <c r="K34" i="7"/>
  <c r="N34" i="7" s="1"/>
  <c r="F34" i="7"/>
  <c r="M33" i="7"/>
  <c r="P33" i="7" s="1"/>
  <c r="L33" i="7"/>
  <c r="O33" i="7" s="1"/>
  <c r="K33" i="7"/>
  <c r="N33" i="7" s="1"/>
  <c r="F33" i="7"/>
  <c r="G33" i="7" s="1"/>
  <c r="M32" i="7"/>
  <c r="P32" i="7" s="1"/>
  <c r="L32" i="7"/>
  <c r="O32" i="7" s="1"/>
  <c r="K32" i="7"/>
  <c r="N32" i="7" s="1"/>
  <c r="F32" i="7"/>
  <c r="M31" i="7"/>
  <c r="P31" i="7" s="1"/>
  <c r="L31" i="7"/>
  <c r="O31" i="7" s="1"/>
  <c r="K31" i="7"/>
  <c r="N31" i="7" s="1"/>
  <c r="F31" i="7"/>
  <c r="H31" i="7" s="1"/>
  <c r="M30" i="7"/>
  <c r="P30" i="7" s="1"/>
  <c r="L30" i="7"/>
  <c r="O30" i="7" s="1"/>
  <c r="K30" i="7"/>
  <c r="N30" i="7" s="1"/>
  <c r="F30" i="7"/>
  <c r="I30" i="7" s="1"/>
  <c r="M29" i="7"/>
  <c r="P29" i="7" s="1"/>
  <c r="L29" i="7"/>
  <c r="O29" i="7" s="1"/>
  <c r="K29" i="7"/>
  <c r="N29" i="7" s="1"/>
  <c r="F29" i="7"/>
  <c r="H29" i="7" s="1"/>
  <c r="M28" i="7"/>
  <c r="P28" i="7" s="1"/>
  <c r="L28" i="7"/>
  <c r="O28" i="7" s="1"/>
  <c r="K28" i="7"/>
  <c r="N28" i="7" s="1"/>
  <c r="F28" i="7"/>
  <c r="I28" i="7" s="1"/>
  <c r="M27" i="7"/>
  <c r="P27" i="7" s="1"/>
  <c r="L27" i="7"/>
  <c r="O27" i="7" s="1"/>
  <c r="K27" i="7"/>
  <c r="N27" i="7" s="1"/>
  <c r="F27" i="7"/>
  <c r="M26" i="7"/>
  <c r="P26" i="7" s="1"/>
  <c r="L26" i="7"/>
  <c r="O26" i="7" s="1"/>
  <c r="K26" i="7"/>
  <c r="N26" i="7" s="1"/>
  <c r="F26" i="7"/>
  <c r="M25" i="7"/>
  <c r="P25" i="7" s="1"/>
  <c r="L25" i="7"/>
  <c r="O25" i="7" s="1"/>
  <c r="K25" i="7"/>
  <c r="N25" i="7" s="1"/>
  <c r="F25" i="7"/>
  <c r="M24" i="7"/>
  <c r="P24" i="7" s="1"/>
  <c r="L24" i="7"/>
  <c r="O24" i="7" s="1"/>
  <c r="K24" i="7"/>
  <c r="N24" i="7" s="1"/>
  <c r="F24" i="7"/>
  <c r="G24" i="7" s="1"/>
  <c r="M23" i="7"/>
  <c r="P23" i="7" s="1"/>
  <c r="L23" i="7"/>
  <c r="O23" i="7" s="1"/>
  <c r="K23" i="7"/>
  <c r="N23" i="7" s="1"/>
  <c r="F23" i="7"/>
  <c r="M22" i="7"/>
  <c r="P22" i="7" s="1"/>
  <c r="L22" i="7"/>
  <c r="O22" i="7" s="1"/>
  <c r="K22" i="7"/>
  <c r="N22" i="7" s="1"/>
  <c r="F22" i="7"/>
  <c r="G22" i="7" s="1"/>
  <c r="M21" i="7"/>
  <c r="P21" i="7" s="1"/>
  <c r="L21" i="7"/>
  <c r="O21" i="7" s="1"/>
  <c r="K21" i="7"/>
  <c r="N21" i="7" s="1"/>
  <c r="F21" i="7"/>
  <c r="G21" i="7" s="1"/>
  <c r="M20" i="7"/>
  <c r="P20" i="7" s="1"/>
  <c r="L20" i="7"/>
  <c r="O20" i="7" s="1"/>
  <c r="K20" i="7"/>
  <c r="N20" i="7" s="1"/>
  <c r="F20" i="7"/>
  <c r="M19" i="7"/>
  <c r="P19" i="7" s="1"/>
  <c r="L19" i="7"/>
  <c r="O19" i="7" s="1"/>
  <c r="K19" i="7"/>
  <c r="N19" i="7" s="1"/>
  <c r="F19" i="7"/>
  <c r="H19" i="7" s="1"/>
  <c r="M18" i="7"/>
  <c r="P18" i="7" s="1"/>
  <c r="L18" i="7"/>
  <c r="O18" i="7" s="1"/>
  <c r="K18" i="7"/>
  <c r="N18" i="7" s="1"/>
  <c r="F18" i="7"/>
  <c r="M17" i="7"/>
  <c r="P17" i="7" s="1"/>
  <c r="L17" i="7"/>
  <c r="O17" i="7" s="1"/>
  <c r="K17" i="7"/>
  <c r="N17" i="7" s="1"/>
  <c r="F17" i="7"/>
  <c r="G17" i="7" s="1"/>
  <c r="M16" i="7"/>
  <c r="P16" i="7" s="1"/>
  <c r="L16" i="7"/>
  <c r="O16" i="7" s="1"/>
  <c r="K16" i="7"/>
  <c r="N16" i="7" s="1"/>
  <c r="F16" i="7"/>
  <c r="H16" i="7" s="1"/>
  <c r="M15" i="7"/>
  <c r="P15" i="7" s="1"/>
  <c r="L15" i="7"/>
  <c r="O15" i="7" s="1"/>
  <c r="K15" i="7"/>
  <c r="N15" i="7" s="1"/>
  <c r="F15" i="7"/>
  <c r="M14" i="7"/>
  <c r="P14" i="7" s="1"/>
  <c r="L14" i="7"/>
  <c r="O14" i="7" s="1"/>
  <c r="K14" i="7"/>
  <c r="N14" i="7" s="1"/>
  <c r="F14" i="7"/>
  <c r="M13" i="7"/>
  <c r="P13" i="7" s="1"/>
  <c r="O13" i="7"/>
  <c r="K13" i="7"/>
  <c r="N13" i="7" s="1"/>
  <c r="F13" i="7"/>
  <c r="I13" i="7" s="1"/>
  <c r="M12" i="7"/>
  <c r="P12" i="7" s="1"/>
  <c r="L12" i="7"/>
  <c r="O12" i="7" s="1"/>
  <c r="K12" i="7"/>
  <c r="N12" i="7" s="1"/>
  <c r="F12" i="7"/>
  <c r="H12" i="7" s="1"/>
  <c r="M11" i="7"/>
  <c r="P11" i="7" s="1"/>
  <c r="L11" i="7"/>
  <c r="O11" i="7" s="1"/>
  <c r="K11" i="7"/>
  <c r="N11" i="7" s="1"/>
  <c r="F11" i="7"/>
  <c r="M10" i="7"/>
  <c r="P10" i="7" s="1"/>
  <c r="L10" i="7"/>
  <c r="O10" i="7" s="1"/>
  <c r="K10" i="7"/>
  <c r="N10" i="7" s="1"/>
  <c r="F10" i="7"/>
  <c r="G10" i="7" s="1"/>
  <c r="M9" i="7"/>
  <c r="P9" i="7" s="1"/>
  <c r="L9" i="7"/>
  <c r="O9" i="7" s="1"/>
  <c r="K9" i="7"/>
  <c r="N9" i="7" s="1"/>
  <c r="F9" i="7"/>
  <c r="M8" i="7"/>
  <c r="P8" i="7" s="1"/>
  <c r="L8" i="7"/>
  <c r="O8" i="7" s="1"/>
  <c r="K8" i="7"/>
  <c r="N8" i="7" s="1"/>
  <c r="F8" i="7"/>
  <c r="G8" i="7" s="1"/>
  <c r="M7" i="7"/>
  <c r="P7" i="7" s="1"/>
  <c r="L7" i="7"/>
  <c r="O7" i="7" s="1"/>
  <c r="K7" i="7"/>
  <c r="N7" i="7" s="1"/>
  <c r="F7" i="7"/>
  <c r="I7" i="7" s="1"/>
  <c r="M6" i="7"/>
  <c r="P6" i="7" s="1"/>
  <c r="L6" i="7"/>
  <c r="O6" i="7" s="1"/>
  <c r="K6" i="7"/>
  <c r="N6" i="7" s="1"/>
  <c r="F6" i="7"/>
  <c r="I6" i="7" s="1"/>
  <c r="M5" i="7"/>
  <c r="P5" i="7" s="1"/>
  <c r="L5" i="7"/>
  <c r="O5" i="7" s="1"/>
  <c r="K5" i="7"/>
  <c r="N5" i="7" s="1"/>
  <c r="F5" i="7"/>
  <c r="G5" i="7" s="1"/>
  <c r="M4" i="7"/>
  <c r="P4" i="7" s="1"/>
  <c r="L4" i="7"/>
  <c r="O4" i="7" s="1"/>
  <c r="K4" i="7"/>
  <c r="N4" i="7" s="1"/>
  <c r="F4" i="7"/>
  <c r="H4" i="7" s="1"/>
  <c r="M3" i="7"/>
  <c r="P3" i="7" s="1"/>
  <c r="L3" i="7"/>
  <c r="O3" i="7" s="1"/>
  <c r="K3" i="7"/>
  <c r="N3" i="7" s="1"/>
  <c r="F3" i="7"/>
  <c r="S363" i="7" l="1"/>
  <c r="S371" i="7"/>
  <c r="S391" i="7"/>
  <c r="S395" i="7"/>
  <c r="S415" i="7"/>
  <c r="S419" i="7"/>
  <c r="S435" i="7"/>
  <c r="S443" i="7"/>
  <c r="S455" i="7"/>
  <c r="S360" i="7"/>
  <c r="S388" i="7"/>
  <c r="S392" i="7"/>
  <c r="S396" i="7"/>
  <c r="S400" i="7"/>
  <c r="S404" i="7"/>
  <c r="S408" i="7"/>
  <c r="S412" i="7"/>
  <c r="S424" i="7"/>
  <c r="S428" i="7"/>
  <c r="S436" i="7"/>
  <c r="S456" i="7"/>
  <c r="S460" i="7"/>
  <c r="S464" i="7"/>
  <c r="S346" i="7"/>
  <c r="S354" i="7"/>
  <c r="S370" i="7"/>
  <c r="H3" i="7"/>
  <c r="R3" i="7" s="1"/>
  <c r="Q3" i="7"/>
  <c r="R4" i="7"/>
  <c r="R16" i="7"/>
  <c r="G372" i="7"/>
  <c r="R287" i="7"/>
  <c r="R251" i="7"/>
  <c r="R200" i="7"/>
  <c r="R303" i="7"/>
  <c r="Q447" i="7"/>
  <c r="R350" i="7"/>
  <c r="R413" i="7"/>
  <c r="R429" i="7"/>
  <c r="Q390" i="7"/>
  <c r="Q454" i="7"/>
  <c r="Q458" i="7"/>
  <c r="Q221" i="7"/>
  <c r="S82" i="7"/>
  <c r="S86" i="7"/>
  <c r="Q273" i="7"/>
  <c r="Q305" i="7"/>
  <c r="G270" i="7"/>
  <c r="R339" i="7"/>
  <c r="Q389" i="7"/>
  <c r="R253" i="7"/>
  <c r="Q265" i="7"/>
  <c r="R340" i="7"/>
  <c r="R352" i="7"/>
  <c r="Q356" i="7"/>
  <c r="I251" i="7"/>
  <c r="S251" i="7" s="1"/>
  <c r="G338" i="7"/>
  <c r="R372" i="7"/>
  <c r="R329" i="7"/>
  <c r="R384" i="7"/>
  <c r="G314" i="7"/>
  <c r="H314" i="7"/>
  <c r="R314" i="7" s="1"/>
  <c r="Q410" i="7"/>
  <c r="Q360" i="7"/>
  <c r="Q280" i="7"/>
  <c r="R318" i="7"/>
  <c r="Q445" i="7"/>
  <c r="H254" i="7"/>
  <c r="R254" i="7" s="1"/>
  <c r="I361" i="7"/>
  <c r="S361" i="7" s="1"/>
  <c r="H388" i="7"/>
  <c r="R388" i="7" s="1"/>
  <c r="Q341" i="7"/>
  <c r="I254" i="7"/>
  <c r="S254" i="7" s="1"/>
  <c r="R277" i="7"/>
  <c r="Q286" i="7"/>
  <c r="Q405" i="7"/>
  <c r="Q258" i="7"/>
  <c r="Q301" i="7"/>
  <c r="I309" i="7"/>
  <c r="S309" i="7" s="1"/>
  <c r="G316" i="7"/>
  <c r="Q346" i="7"/>
  <c r="R440" i="7"/>
  <c r="Q336" i="7"/>
  <c r="Q386" i="7"/>
  <c r="Q320" i="7"/>
  <c r="R332" i="7"/>
  <c r="G380" i="7"/>
  <c r="I393" i="7"/>
  <c r="S393" i="7" s="1"/>
  <c r="H404" i="7"/>
  <c r="R404" i="7" s="1"/>
  <c r="Q164" i="7"/>
  <c r="I282" i="7"/>
  <c r="S282" i="7" s="1"/>
  <c r="Q357" i="7"/>
  <c r="I380" i="7"/>
  <c r="S380" i="7" s="1"/>
  <c r="Q272" i="7"/>
  <c r="Q249" i="7"/>
  <c r="Q325" i="7"/>
  <c r="I339" i="7"/>
  <c r="S339" i="7" s="1"/>
  <c r="H351" i="7"/>
  <c r="R351" i="7" s="1"/>
  <c r="Q377" i="7"/>
  <c r="H408" i="7"/>
  <c r="R408" i="7" s="1"/>
  <c r="Q422" i="7"/>
  <c r="Q27" i="7"/>
  <c r="Q283" i="7"/>
  <c r="Q294" i="7"/>
  <c r="R325" i="7"/>
  <c r="I351" i="7"/>
  <c r="S351" i="7" s="1"/>
  <c r="R361" i="7"/>
  <c r="R364" i="7"/>
  <c r="Q394" i="7"/>
  <c r="R402" i="7"/>
  <c r="Q408" i="7"/>
  <c r="G415" i="7"/>
  <c r="Q433" i="7"/>
  <c r="Q466" i="7"/>
  <c r="H443" i="7"/>
  <c r="R443" i="7" s="1"/>
  <c r="Q259" i="7"/>
  <c r="Q263" i="7"/>
  <c r="Q276" i="7"/>
  <c r="G368" i="7"/>
  <c r="Q412" i="7"/>
  <c r="Q321" i="7"/>
  <c r="Q318" i="7"/>
  <c r="R322" i="7"/>
  <c r="Q342" i="7"/>
  <c r="I368" i="7"/>
  <c r="S368" i="7" s="1"/>
  <c r="Q437" i="7"/>
  <c r="H282" i="7"/>
  <c r="R282" i="7" s="1"/>
  <c r="I357" i="7"/>
  <c r="S357" i="7" s="1"/>
  <c r="R417" i="7"/>
  <c r="H390" i="7"/>
  <c r="R390" i="7" s="1"/>
  <c r="Q461" i="7"/>
  <c r="Q282" i="7"/>
  <c r="H370" i="7"/>
  <c r="R370" i="7" s="1"/>
  <c r="I429" i="7"/>
  <c r="S429" i="7" s="1"/>
  <c r="Q309" i="7"/>
  <c r="Q313" i="7"/>
  <c r="I316" i="7"/>
  <c r="S316" i="7" s="1"/>
  <c r="G340" i="7"/>
  <c r="Q349" i="7"/>
  <c r="Q368" i="7"/>
  <c r="Q409" i="7"/>
  <c r="Q457" i="7"/>
  <c r="G404" i="7"/>
  <c r="R432" i="7"/>
  <c r="Q289" i="7"/>
  <c r="H275" i="7"/>
  <c r="R275" i="7" s="1"/>
  <c r="G265" i="7"/>
  <c r="G295" i="7"/>
  <c r="I306" i="7"/>
  <c r="S306" i="7" s="1"/>
  <c r="Q334" i="7"/>
  <c r="I340" i="7"/>
  <c r="S340" i="7" s="1"/>
  <c r="G346" i="7"/>
  <c r="Q365" i="7"/>
  <c r="I289" i="7"/>
  <c r="S289" i="7" s="1"/>
  <c r="Q393" i="7"/>
  <c r="I275" i="7"/>
  <c r="S275" i="7" s="1"/>
  <c r="Q279" i="7"/>
  <c r="I325" i="7"/>
  <c r="S325" i="7" s="1"/>
  <c r="G251" i="7"/>
  <c r="H295" i="7"/>
  <c r="R295" i="7" s="1"/>
  <c r="Q327" i="7"/>
  <c r="R334" i="7"/>
  <c r="Q340" i="7"/>
  <c r="R343" i="7"/>
  <c r="R431" i="7"/>
  <c r="Q453" i="7"/>
  <c r="Q296" i="7"/>
  <c r="G370" i="7"/>
  <c r="Q397" i="7"/>
  <c r="Q233" i="7"/>
  <c r="I265" i="7"/>
  <c r="S265" i="7" s="1"/>
  <c r="G339" i="7"/>
  <c r="Q380" i="7"/>
  <c r="Q257" i="7"/>
  <c r="R264" i="7"/>
  <c r="R359" i="7"/>
  <c r="R386" i="7"/>
  <c r="R410" i="7"/>
  <c r="H460" i="7"/>
  <c r="R460" i="7" s="1"/>
  <c r="I328" i="7"/>
  <c r="S328" i="7" s="1"/>
  <c r="Q328" i="7"/>
  <c r="H400" i="7"/>
  <c r="R400" i="7" s="1"/>
  <c r="I403" i="7"/>
  <c r="S403" i="7" s="1"/>
  <c r="H294" i="7"/>
  <c r="R294" i="7" s="1"/>
  <c r="Q337" i="7"/>
  <c r="G304" i="7"/>
  <c r="Q348" i="7"/>
  <c r="G354" i="7"/>
  <c r="G371" i="7"/>
  <c r="I401" i="7"/>
  <c r="S401" i="7" s="1"/>
  <c r="Q401" i="7"/>
  <c r="Q413" i="7"/>
  <c r="H65" i="7"/>
  <c r="R65" i="7" s="1"/>
  <c r="I65" i="7"/>
  <c r="S65" i="7" s="1"/>
  <c r="I159" i="7"/>
  <c r="S159" i="7" s="1"/>
  <c r="I250" i="7"/>
  <c r="S250" i="7" s="1"/>
  <c r="Q267" i="7"/>
  <c r="H267" i="7"/>
  <c r="R267" i="7" s="1"/>
  <c r="G267" i="7"/>
  <c r="G292" i="7"/>
  <c r="I304" i="7"/>
  <c r="S304" i="7" s="1"/>
  <c r="H335" i="7"/>
  <c r="R335" i="7" s="1"/>
  <c r="Q345" i="7"/>
  <c r="I374" i="7"/>
  <c r="S374" i="7" s="1"/>
  <c r="H374" i="7"/>
  <c r="R374" i="7" s="1"/>
  <c r="G374" i="7"/>
  <c r="G392" i="7"/>
  <c r="Q392" i="7"/>
  <c r="H262" i="7"/>
  <c r="R262" i="7" s="1"/>
  <c r="Q262" i="7"/>
  <c r="H292" i="7"/>
  <c r="R292" i="7" s="1"/>
  <c r="Q304" i="7"/>
  <c r="R345" i="7"/>
  <c r="I383" i="7"/>
  <c r="S383" i="7" s="1"/>
  <c r="G383" i="7"/>
  <c r="H392" i="7"/>
  <c r="R392" i="7" s="1"/>
  <c r="I433" i="7"/>
  <c r="S433" i="7" s="1"/>
  <c r="G443" i="7"/>
  <c r="Q446" i="7"/>
  <c r="I449" i="7"/>
  <c r="S449" i="7" s="1"/>
  <c r="Q449" i="7"/>
  <c r="G326" i="7"/>
  <c r="Q326" i="7"/>
  <c r="I326" i="7"/>
  <c r="S326" i="7" s="1"/>
  <c r="H326" i="7"/>
  <c r="R326" i="7" s="1"/>
  <c r="H333" i="7"/>
  <c r="R333" i="7" s="1"/>
  <c r="Q333" i="7"/>
  <c r="R433" i="7"/>
  <c r="Q463" i="7"/>
  <c r="I463" i="7"/>
  <c r="S463" i="7" s="1"/>
  <c r="Q373" i="7"/>
  <c r="Q411" i="7"/>
  <c r="I411" i="7"/>
  <c r="S411" i="7" s="1"/>
  <c r="H411" i="7"/>
  <c r="R411" i="7" s="1"/>
  <c r="G463" i="7"/>
  <c r="Q379" i="7"/>
  <c r="I379" i="7"/>
  <c r="S379" i="7" s="1"/>
  <c r="H379" i="7"/>
  <c r="R379" i="7" s="1"/>
  <c r="G379" i="7"/>
  <c r="I269" i="7"/>
  <c r="S269" i="7" s="1"/>
  <c r="Q269" i="7"/>
  <c r="G356" i="7"/>
  <c r="H385" i="7"/>
  <c r="R385" i="7" s="1"/>
  <c r="Q385" i="7"/>
  <c r="I385" i="7"/>
  <c r="S385" i="7" s="1"/>
  <c r="I413" i="7"/>
  <c r="S413" i="7" s="1"/>
  <c r="Q465" i="7"/>
  <c r="I333" i="7"/>
  <c r="S333" i="7" s="1"/>
  <c r="I302" i="7"/>
  <c r="S302" i="7" s="1"/>
  <c r="Q302" i="7"/>
  <c r="I341" i="7"/>
  <c r="S341" i="7" s="1"/>
  <c r="G358" i="7"/>
  <c r="Q358" i="7"/>
  <c r="G363" i="7"/>
  <c r="Q366" i="7"/>
  <c r="H381" i="7"/>
  <c r="R381" i="7" s="1"/>
  <c r="Q381" i="7"/>
  <c r="G411" i="7"/>
  <c r="H463" i="7"/>
  <c r="R463" i="7" s="1"/>
  <c r="H403" i="7"/>
  <c r="R403" i="7" s="1"/>
  <c r="Q425" i="7"/>
  <c r="H435" i="7"/>
  <c r="R435" i="7" s="1"/>
  <c r="Q285" i="7"/>
  <c r="I285" i="7"/>
  <c r="S285" i="7" s="1"/>
  <c r="H285" i="7"/>
  <c r="R285" i="7" s="1"/>
  <c r="G285" i="7"/>
  <c r="G452" i="7"/>
  <c r="I252" i="7"/>
  <c r="S252" i="7" s="1"/>
  <c r="Q252" i="7"/>
  <c r="I319" i="7"/>
  <c r="S319" i="7" s="1"/>
  <c r="H319" i="7"/>
  <c r="R319" i="7" s="1"/>
  <c r="H250" i="7"/>
  <c r="R250" i="7" s="1"/>
  <c r="I307" i="7"/>
  <c r="S307" i="7" s="1"/>
  <c r="H307" i="7"/>
  <c r="R307" i="7" s="1"/>
  <c r="H317" i="7"/>
  <c r="R317" i="7" s="1"/>
  <c r="Q317" i="7"/>
  <c r="I345" i="7"/>
  <c r="S345" i="7" s="1"/>
  <c r="Q292" i="7"/>
  <c r="Q96" i="7"/>
  <c r="I274" i="7"/>
  <c r="S274" i="7" s="1"/>
  <c r="H274" i="7"/>
  <c r="R274" i="7" s="1"/>
  <c r="G274" i="7"/>
  <c r="Q290" i="7"/>
  <c r="I425" i="7"/>
  <c r="S425" i="7" s="1"/>
  <c r="G435" i="7"/>
  <c r="H300" i="7"/>
  <c r="R300" i="7" s="1"/>
  <c r="I300" i="7"/>
  <c r="S300" i="7" s="1"/>
  <c r="H356" i="7"/>
  <c r="R356" i="7" s="1"/>
  <c r="G300" i="7"/>
  <c r="I356" i="7"/>
  <c r="S356" i="7" s="1"/>
  <c r="H348" i="7"/>
  <c r="R348" i="7" s="1"/>
  <c r="I348" i="7"/>
  <c r="S348" i="7" s="1"/>
  <c r="G348" i="7"/>
  <c r="H354" i="7"/>
  <c r="R354" i="7" s="1"/>
  <c r="Q354" i="7"/>
  <c r="I283" i="7"/>
  <c r="S283" i="7" s="1"/>
  <c r="H283" i="7"/>
  <c r="R283" i="7" s="1"/>
  <c r="G283" i="7"/>
  <c r="I281" i="7"/>
  <c r="S281" i="7" s="1"/>
  <c r="H281" i="7"/>
  <c r="R281" i="7" s="1"/>
  <c r="G281" i="7"/>
  <c r="I324" i="7"/>
  <c r="S324" i="7" s="1"/>
  <c r="H324" i="7"/>
  <c r="R324" i="7" s="1"/>
  <c r="G324" i="7"/>
  <c r="R341" i="7"/>
  <c r="Q350" i="7"/>
  <c r="I350" i="7"/>
  <c r="S350" i="7" s="1"/>
  <c r="Q418" i="7"/>
  <c r="R382" i="7"/>
  <c r="I337" i="7"/>
  <c r="S337" i="7" s="1"/>
  <c r="I294" i="7"/>
  <c r="S294" i="7" s="1"/>
  <c r="I369" i="7"/>
  <c r="S369" i="7" s="1"/>
  <c r="Q369" i="7"/>
  <c r="R321" i="7"/>
  <c r="H272" i="7"/>
  <c r="R272" i="7" s="1"/>
  <c r="R306" i="7"/>
  <c r="I321" i="7"/>
  <c r="S321" i="7" s="1"/>
  <c r="G350" i="7"/>
  <c r="H418" i="7"/>
  <c r="R418" i="7" s="1"/>
  <c r="Q441" i="7"/>
  <c r="Q361" i="7"/>
  <c r="Q300" i="7"/>
  <c r="G322" i="7"/>
  <c r="I377" i="7"/>
  <c r="S377" i="7" s="1"/>
  <c r="Q109" i="7"/>
  <c r="G253" i="7"/>
  <c r="H255" i="7"/>
  <c r="R255" i="7" s="1"/>
  <c r="H265" i="7"/>
  <c r="R265" i="7" s="1"/>
  <c r="I270" i="7"/>
  <c r="S270" i="7" s="1"/>
  <c r="G336" i="7"/>
  <c r="G342" i="7"/>
  <c r="H346" i="7"/>
  <c r="R346" i="7" s="1"/>
  <c r="G364" i="7"/>
  <c r="I421" i="7"/>
  <c r="S421" i="7" s="1"/>
  <c r="Q429" i="7"/>
  <c r="I447" i="7"/>
  <c r="S447" i="7" s="1"/>
  <c r="Q450" i="7"/>
  <c r="I253" i="7"/>
  <c r="S253" i="7" s="1"/>
  <c r="I255" i="7"/>
  <c r="S255" i="7" s="1"/>
  <c r="H336" i="7"/>
  <c r="R336" i="7" s="1"/>
  <c r="H342" i="7"/>
  <c r="R342" i="7" s="1"/>
  <c r="Q421" i="7"/>
  <c r="Q255" i="7"/>
  <c r="G258" i="7"/>
  <c r="I329" i="7"/>
  <c r="S329" i="7" s="1"/>
  <c r="H396" i="7"/>
  <c r="R396" i="7" s="1"/>
  <c r="G424" i="7"/>
  <c r="G432" i="7"/>
  <c r="G456" i="7"/>
  <c r="G464" i="7"/>
  <c r="H258" i="7"/>
  <c r="R258" i="7" s="1"/>
  <c r="G273" i="7"/>
  <c r="G291" i="7"/>
  <c r="G308" i="7"/>
  <c r="Q329" i="7"/>
  <c r="I353" i="7"/>
  <c r="S353" i="7" s="1"/>
  <c r="R357" i="7"/>
  <c r="R393" i="7"/>
  <c r="Q396" i="7"/>
  <c r="G412" i="7"/>
  <c r="G419" i="7"/>
  <c r="I437" i="7"/>
  <c r="S437" i="7" s="1"/>
  <c r="H464" i="7"/>
  <c r="R464" i="7" s="1"/>
  <c r="Q87" i="7"/>
  <c r="R249" i="7"/>
  <c r="H273" i="7"/>
  <c r="R273" i="7" s="1"/>
  <c r="H291" i="7"/>
  <c r="R291" i="7" s="1"/>
  <c r="Q295" i="7"/>
  <c r="G306" i="7"/>
  <c r="R349" i="7"/>
  <c r="Q353" i="7"/>
  <c r="R389" i="7"/>
  <c r="H391" i="7"/>
  <c r="R391" i="7" s="1"/>
  <c r="Q404" i="7"/>
  <c r="H412" i="7"/>
  <c r="R412" i="7" s="1"/>
  <c r="I417" i="7"/>
  <c r="S417" i="7" s="1"/>
  <c r="H419" i="7"/>
  <c r="R419" i="7" s="1"/>
  <c r="I322" i="7"/>
  <c r="S322" i="7" s="1"/>
  <c r="R29" i="7"/>
  <c r="S61" i="7"/>
  <c r="Q122" i="7"/>
  <c r="Q138" i="7"/>
  <c r="Q270" i="7"/>
  <c r="Q314" i="7"/>
  <c r="I349" i="7"/>
  <c r="S349" i="7" s="1"/>
  <c r="R380" i="7"/>
  <c r="I389" i="7"/>
  <c r="S389" i="7" s="1"/>
  <c r="Q417" i="7"/>
  <c r="R437" i="7"/>
  <c r="R289" i="7"/>
  <c r="I260" i="7"/>
  <c r="S260" i="7" s="1"/>
  <c r="Q260" i="7"/>
  <c r="H260" i="7"/>
  <c r="R260" i="7" s="1"/>
  <c r="I266" i="7"/>
  <c r="S266" i="7" s="1"/>
  <c r="H266" i="7"/>
  <c r="R266" i="7" s="1"/>
  <c r="G266" i="7"/>
  <c r="I268" i="7"/>
  <c r="S268" i="7" s="1"/>
  <c r="H268" i="7"/>
  <c r="R268" i="7" s="1"/>
  <c r="Q298" i="7"/>
  <c r="G298" i="7"/>
  <c r="R304" i="7"/>
  <c r="I344" i="7"/>
  <c r="S344" i="7" s="1"/>
  <c r="H344" i="7"/>
  <c r="R344" i="7" s="1"/>
  <c r="G344" i="7"/>
  <c r="Q416" i="7"/>
  <c r="H416" i="7"/>
  <c r="R416" i="7" s="1"/>
  <c r="G416" i="7"/>
  <c r="I420" i="7"/>
  <c r="S420" i="7" s="1"/>
  <c r="H420" i="7"/>
  <c r="R420" i="7" s="1"/>
  <c r="G420" i="7"/>
  <c r="Q439" i="7"/>
  <c r="H439" i="7"/>
  <c r="R439" i="7" s="1"/>
  <c r="Q444" i="7"/>
  <c r="I444" i="7"/>
  <c r="S444" i="7" s="1"/>
  <c r="H444" i="7"/>
  <c r="R444" i="7" s="1"/>
  <c r="G444" i="7"/>
  <c r="I180" i="7"/>
  <c r="S180" i="7" s="1"/>
  <c r="I238" i="7"/>
  <c r="S238" i="7" s="1"/>
  <c r="H238" i="7"/>
  <c r="R238" i="7" s="1"/>
  <c r="G238" i="7"/>
  <c r="G260" i="7"/>
  <c r="G268" i="7"/>
  <c r="H298" i="7"/>
  <c r="R298" i="7" s="1"/>
  <c r="R308" i="7"/>
  <c r="I416" i="7"/>
  <c r="S416" i="7" s="1"/>
  <c r="G439" i="7"/>
  <c r="Q180" i="7"/>
  <c r="Q274" i="7"/>
  <c r="I298" i="7"/>
  <c r="S298" i="7" s="1"/>
  <c r="R337" i="7"/>
  <c r="R368" i="7"/>
  <c r="R425" i="7"/>
  <c r="I439" i="7"/>
  <c r="S439" i="7" s="1"/>
  <c r="Q148" i="7"/>
  <c r="G327" i="7"/>
  <c r="Q407" i="7"/>
  <c r="I407" i="7"/>
  <c r="S407" i="7" s="1"/>
  <c r="H407" i="7"/>
  <c r="R407" i="7" s="1"/>
  <c r="R136" i="7"/>
  <c r="Q311" i="7"/>
  <c r="H311" i="7"/>
  <c r="R311" i="7" s="1"/>
  <c r="G407" i="7"/>
  <c r="G287" i="7"/>
  <c r="Q93" i="7"/>
  <c r="G257" i="7"/>
  <c r="H261" i="7"/>
  <c r="R261" i="7" s="1"/>
  <c r="H263" i="7"/>
  <c r="R263" i="7" s="1"/>
  <c r="Q266" i="7"/>
  <c r="Q268" i="7"/>
  <c r="Q271" i="7"/>
  <c r="G271" i="7"/>
  <c r="G293" i="7"/>
  <c r="I293" i="7"/>
  <c r="S293" i="7" s="1"/>
  <c r="H293" i="7"/>
  <c r="R293" i="7" s="1"/>
  <c r="Q293" i="7"/>
  <c r="I311" i="7"/>
  <c r="S311" i="7" s="1"/>
  <c r="R316" i="7"/>
  <c r="G332" i="7"/>
  <c r="Q344" i="7"/>
  <c r="I64" i="7"/>
  <c r="S64" i="7" s="1"/>
  <c r="Q94" i="7"/>
  <c r="H257" i="7"/>
  <c r="R257" i="7" s="1"/>
  <c r="H271" i="7"/>
  <c r="R271" i="7" s="1"/>
  <c r="G318" i="7"/>
  <c r="Q330" i="7"/>
  <c r="H330" i="7"/>
  <c r="R330" i="7" s="1"/>
  <c r="G334" i="7"/>
  <c r="Q355" i="7"/>
  <c r="I355" i="7"/>
  <c r="S355" i="7" s="1"/>
  <c r="G355" i="7"/>
  <c r="I376" i="7"/>
  <c r="S376" i="7" s="1"/>
  <c r="H376" i="7"/>
  <c r="R376" i="7" s="1"/>
  <c r="Q376" i="7"/>
  <c r="Q448" i="7"/>
  <c r="H448" i="7"/>
  <c r="R448" i="7" s="1"/>
  <c r="G448" i="7"/>
  <c r="I448" i="7"/>
  <c r="S448" i="7" s="1"/>
  <c r="Q253" i="7"/>
  <c r="I257" i="7"/>
  <c r="S257" i="7" s="1"/>
  <c r="I271" i="7"/>
  <c r="S271" i="7" s="1"/>
  <c r="Q297" i="7"/>
  <c r="H297" i="7"/>
  <c r="R297" i="7" s="1"/>
  <c r="Q303" i="7"/>
  <c r="I303" i="7"/>
  <c r="S303" i="7" s="1"/>
  <c r="G303" i="7"/>
  <c r="I318" i="7"/>
  <c r="S318" i="7" s="1"/>
  <c r="G330" i="7"/>
  <c r="I334" i="7"/>
  <c r="S334" i="7" s="1"/>
  <c r="Q343" i="7"/>
  <c r="G343" i="7"/>
  <c r="Q347" i="7"/>
  <c r="I347" i="7"/>
  <c r="S347" i="7" s="1"/>
  <c r="H347" i="7"/>
  <c r="R347" i="7" s="1"/>
  <c r="G347" i="7"/>
  <c r="H355" i="7"/>
  <c r="R355" i="7" s="1"/>
  <c r="Q362" i="7"/>
  <c r="H362" i="7"/>
  <c r="R362" i="7" s="1"/>
  <c r="G376" i="7"/>
  <c r="Q254" i="7"/>
  <c r="I267" i="7"/>
  <c r="S267" i="7" s="1"/>
  <c r="I297" i="7"/>
  <c r="S297" i="7" s="1"/>
  <c r="R338" i="7"/>
  <c r="I343" i="7"/>
  <c r="S343" i="7" s="1"/>
  <c r="I362" i="7"/>
  <c r="S362" i="7" s="1"/>
  <c r="I284" i="7"/>
  <c r="S284" i="7" s="1"/>
  <c r="Q284" i="7"/>
  <c r="I288" i="7"/>
  <c r="S288" i="7" s="1"/>
  <c r="Q288" i="7"/>
  <c r="G288" i="7"/>
  <c r="I290" i="7"/>
  <c r="S290" i="7" s="1"/>
  <c r="G290" i="7"/>
  <c r="Q387" i="7"/>
  <c r="H387" i="7"/>
  <c r="R387" i="7" s="1"/>
  <c r="I394" i="7"/>
  <c r="S394" i="7" s="1"/>
  <c r="G394" i="7"/>
  <c r="H394" i="7"/>
  <c r="R394" i="7" s="1"/>
  <c r="Q459" i="7"/>
  <c r="G459" i="7"/>
  <c r="I459" i="7"/>
  <c r="S459" i="7" s="1"/>
  <c r="Q278" i="7"/>
  <c r="H278" i="7"/>
  <c r="R278" i="7" s="1"/>
  <c r="Q428" i="7"/>
  <c r="H428" i="7"/>
  <c r="R428" i="7" s="1"/>
  <c r="G428" i="7"/>
  <c r="I466" i="7"/>
  <c r="S466" i="7" s="1"/>
  <c r="H466" i="7"/>
  <c r="R466" i="7" s="1"/>
  <c r="G466" i="7"/>
  <c r="H66" i="7"/>
  <c r="R66" i="7" s="1"/>
  <c r="G66" i="7"/>
  <c r="Q261" i="7"/>
  <c r="G261" i="7"/>
  <c r="Q324" i="7"/>
  <c r="Q275" i="7"/>
  <c r="G249" i="7"/>
  <c r="Q281" i="7"/>
  <c r="G284" i="7"/>
  <c r="H288" i="7"/>
  <c r="R288" i="7" s="1"/>
  <c r="H290" i="7"/>
  <c r="R290" i="7" s="1"/>
  <c r="G387" i="7"/>
  <c r="Q399" i="7"/>
  <c r="G399" i="7"/>
  <c r="H399" i="7"/>
  <c r="R399" i="7" s="1"/>
  <c r="H459" i="7"/>
  <c r="R459" i="7" s="1"/>
  <c r="I462" i="7"/>
  <c r="S462" i="7" s="1"/>
  <c r="H462" i="7"/>
  <c r="R462" i="7" s="1"/>
  <c r="G462" i="7"/>
  <c r="Q462" i="7"/>
  <c r="Q384" i="7"/>
  <c r="I384" i="7"/>
  <c r="S384" i="7" s="1"/>
  <c r="G384" i="7"/>
  <c r="Q160" i="7"/>
  <c r="G278" i="7"/>
  <c r="I263" i="7"/>
  <c r="S263" i="7" s="1"/>
  <c r="G263" i="7"/>
  <c r="R309" i="7"/>
  <c r="I327" i="7"/>
  <c r="S327" i="7" s="1"/>
  <c r="Q332" i="7"/>
  <c r="I332" i="7"/>
  <c r="S332" i="7" s="1"/>
  <c r="I378" i="7"/>
  <c r="S378" i="7" s="1"/>
  <c r="G378" i="7"/>
  <c r="H378" i="7"/>
  <c r="R378" i="7" s="1"/>
  <c r="Q378" i="7"/>
  <c r="Q423" i="7"/>
  <c r="H423" i="7"/>
  <c r="R423" i="7" s="1"/>
  <c r="I423" i="7"/>
  <c r="S423" i="7" s="1"/>
  <c r="I249" i="7"/>
  <c r="S249" i="7" s="1"/>
  <c r="Q251" i="7"/>
  <c r="I256" i="7"/>
  <c r="S256" i="7" s="1"/>
  <c r="H256" i="7"/>
  <c r="R256" i="7" s="1"/>
  <c r="G256" i="7"/>
  <c r="Q256" i="7"/>
  <c r="I264" i="7"/>
  <c r="S264" i="7" s="1"/>
  <c r="Q264" i="7"/>
  <c r="Q277" i="7"/>
  <c r="I277" i="7"/>
  <c r="S277" i="7" s="1"/>
  <c r="H284" i="7"/>
  <c r="R284" i="7" s="1"/>
  <c r="I310" i="7"/>
  <c r="S310" i="7" s="1"/>
  <c r="H310" i="7"/>
  <c r="R310" i="7" s="1"/>
  <c r="G310" i="7"/>
  <c r="Q310" i="7"/>
  <c r="I387" i="7"/>
  <c r="S387" i="7" s="1"/>
  <c r="I399" i="7"/>
  <c r="S399" i="7" s="1"/>
  <c r="Q136" i="7"/>
  <c r="H160" i="7"/>
  <c r="R160" i="7" s="1"/>
  <c r="I160" i="7"/>
  <c r="S160" i="7" s="1"/>
  <c r="Q291" i="7"/>
  <c r="R144" i="7"/>
  <c r="Q250" i="7"/>
  <c r="I280" i="7"/>
  <c r="S280" i="7" s="1"/>
  <c r="G280" i="7"/>
  <c r="Q287" i="7"/>
  <c r="I287" i="7"/>
  <c r="S287" i="7" s="1"/>
  <c r="H327" i="7"/>
  <c r="R327" i="7" s="1"/>
  <c r="H280" i="7"/>
  <c r="R280" i="7" s="1"/>
  <c r="G311" i="7"/>
  <c r="Q420" i="7"/>
  <c r="Q139" i="7"/>
  <c r="G264" i="7"/>
  <c r="R270" i="7"/>
  <c r="G277" i="7"/>
  <c r="G294" i="7"/>
  <c r="Q306" i="7"/>
  <c r="I308" i="7"/>
  <c r="S308" i="7" s="1"/>
  <c r="Q308" i="7"/>
  <c r="G352" i="7"/>
  <c r="Q352" i="7"/>
  <c r="I352" i="7"/>
  <c r="S352" i="7" s="1"/>
  <c r="Q370" i="7"/>
  <c r="Q372" i="7"/>
  <c r="I372" i="7"/>
  <c r="S372" i="7" s="1"/>
  <c r="Q427" i="7"/>
  <c r="I427" i="7"/>
  <c r="S427" i="7" s="1"/>
  <c r="H427" i="7"/>
  <c r="R427" i="7" s="1"/>
  <c r="H301" i="7"/>
  <c r="R301" i="7" s="1"/>
  <c r="G301" i="7"/>
  <c r="Q335" i="7"/>
  <c r="G335" i="7"/>
  <c r="Q364" i="7"/>
  <c r="I364" i="7"/>
  <c r="S364" i="7" s="1"/>
  <c r="I366" i="7"/>
  <c r="S366" i="7" s="1"/>
  <c r="H366" i="7"/>
  <c r="R366" i="7" s="1"/>
  <c r="Q391" i="7"/>
  <c r="G391" i="7"/>
  <c r="Q395" i="7"/>
  <c r="H395" i="7"/>
  <c r="R395" i="7" s="1"/>
  <c r="G395" i="7"/>
  <c r="Q419" i="7"/>
  <c r="R421" i="7"/>
  <c r="R452" i="7"/>
  <c r="I382" i="7"/>
  <c r="S382" i="7" s="1"/>
  <c r="G382" i="7"/>
  <c r="Q432" i="7"/>
  <c r="Q359" i="7"/>
  <c r="I406" i="7"/>
  <c r="S406" i="7" s="1"/>
  <c r="G406" i="7"/>
  <c r="H406" i="7"/>
  <c r="R406" i="7" s="1"/>
  <c r="I414" i="7"/>
  <c r="S414" i="7" s="1"/>
  <c r="G414" i="7"/>
  <c r="I430" i="7"/>
  <c r="S430" i="7" s="1"/>
  <c r="H430" i="7"/>
  <c r="R430" i="7" s="1"/>
  <c r="G430" i="7"/>
  <c r="Q436" i="7"/>
  <c r="H436" i="7"/>
  <c r="R436" i="7" s="1"/>
  <c r="I438" i="7"/>
  <c r="S438" i="7" s="1"/>
  <c r="H438" i="7"/>
  <c r="R438" i="7" s="1"/>
  <c r="G438" i="7"/>
  <c r="Q440" i="7"/>
  <c r="I440" i="7"/>
  <c r="S440" i="7" s="1"/>
  <c r="I442" i="7"/>
  <c r="S442" i="7" s="1"/>
  <c r="H442" i="7"/>
  <c r="R442" i="7" s="1"/>
  <c r="G442" i="7"/>
  <c r="Q455" i="7"/>
  <c r="H455" i="7"/>
  <c r="R455" i="7" s="1"/>
  <c r="R114" i="7"/>
  <c r="Q322" i="7"/>
  <c r="Q339" i="7"/>
  <c r="G359" i="7"/>
  <c r="G388" i="7"/>
  <c r="G396" i="7"/>
  <c r="G400" i="7"/>
  <c r="H414" i="7"/>
  <c r="R414" i="7" s="1"/>
  <c r="I426" i="7"/>
  <c r="S426" i="7" s="1"/>
  <c r="H426" i="7"/>
  <c r="R426" i="7" s="1"/>
  <c r="G426" i="7"/>
  <c r="I432" i="7"/>
  <c r="S432" i="7" s="1"/>
  <c r="I434" i="7"/>
  <c r="S434" i="7" s="1"/>
  <c r="H434" i="7"/>
  <c r="R434" i="7" s="1"/>
  <c r="G434" i="7"/>
  <c r="Q434" i="7"/>
  <c r="G436" i="7"/>
  <c r="G440" i="7"/>
  <c r="G455" i="7"/>
  <c r="Q315" i="7"/>
  <c r="Q323" i="7"/>
  <c r="I359" i="7"/>
  <c r="S359" i="7" s="1"/>
  <c r="Q374" i="7"/>
  <c r="I398" i="7"/>
  <c r="S398" i="7" s="1"/>
  <c r="G398" i="7"/>
  <c r="Q398" i="7"/>
  <c r="Q451" i="7"/>
  <c r="I451" i="7"/>
  <c r="S451" i="7" s="1"/>
  <c r="Q467" i="7"/>
  <c r="I467" i="7"/>
  <c r="S467" i="7" s="1"/>
  <c r="Q95" i="7"/>
  <c r="Q157" i="7"/>
  <c r="Q220" i="7"/>
  <c r="G252" i="7"/>
  <c r="G259" i="7"/>
  <c r="G276" i="7"/>
  <c r="G286" i="7"/>
  <c r="Q312" i="7"/>
  <c r="G315" i="7"/>
  <c r="Q316" i="7"/>
  <c r="G320" i="7"/>
  <c r="G323" i="7"/>
  <c r="Q367" i="7"/>
  <c r="I367" i="7"/>
  <c r="S367" i="7" s="1"/>
  <c r="R377" i="7"/>
  <c r="H398" i="7"/>
  <c r="R398" i="7" s="1"/>
  <c r="G451" i="7"/>
  <c r="G467" i="7"/>
  <c r="Q80" i="7"/>
  <c r="Q189" i="7"/>
  <c r="H252" i="7"/>
  <c r="R252" i="7" s="1"/>
  <c r="H259" i="7"/>
  <c r="R259" i="7" s="1"/>
  <c r="G269" i="7"/>
  <c r="H276" i="7"/>
  <c r="R276" i="7" s="1"/>
  <c r="G279" i="7"/>
  <c r="H286" i="7"/>
  <c r="R286" i="7" s="1"/>
  <c r="G296" i="7"/>
  <c r="Q299" i="7"/>
  <c r="G302" i="7"/>
  <c r="G312" i="7"/>
  <c r="H315" i="7"/>
  <c r="R315" i="7" s="1"/>
  <c r="H320" i="7"/>
  <c r="R320" i="7" s="1"/>
  <c r="H323" i="7"/>
  <c r="R323" i="7" s="1"/>
  <c r="G328" i="7"/>
  <c r="Q331" i="7"/>
  <c r="H331" i="7"/>
  <c r="R331" i="7" s="1"/>
  <c r="G367" i="7"/>
  <c r="Q375" i="7"/>
  <c r="H451" i="7"/>
  <c r="R451" i="7" s="1"/>
  <c r="H467" i="7"/>
  <c r="R467" i="7" s="1"/>
  <c r="G262" i="7"/>
  <c r="H269" i="7"/>
  <c r="R269" i="7" s="1"/>
  <c r="H279" i="7"/>
  <c r="R279" i="7" s="1"/>
  <c r="G289" i="7"/>
  <c r="H296" i="7"/>
  <c r="R296" i="7" s="1"/>
  <c r="G299" i="7"/>
  <c r="H302" i="7"/>
  <c r="R302" i="7" s="1"/>
  <c r="Q307" i="7"/>
  <c r="H312" i="7"/>
  <c r="R312" i="7" s="1"/>
  <c r="I315" i="7"/>
  <c r="S315" i="7" s="1"/>
  <c r="I323" i="7"/>
  <c r="S323" i="7" s="1"/>
  <c r="H328" i="7"/>
  <c r="R328" i="7" s="1"/>
  <c r="G331" i="7"/>
  <c r="H358" i="7"/>
  <c r="R358" i="7" s="1"/>
  <c r="H367" i="7"/>
  <c r="R367" i="7" s="1"/>
  <c r="G375" i="7"/>
  <c r="Q382" i="7"/>
  <c r="Q400" i="7"/>
  <c r="Q442" i="7"/>
  <c r="Q154" i="7"/>
  <c r="Q217" i="7"/>
  <c r="G272" i="7"/>
  <c r="H299" i="7"/>
  <c r="R299" i="7" s="1"/>
  <c r="G307" i="7"/>
  <c r="I312" i="7"/>
  <c r="S312" i="7" s="1"/>
  <c r="I331" i="7"/>
  <c r="S331" i="7" s="1"/>
  <c r="Q338" i="7"/>
  <c r="I338" i="7"/>
  <c r="S338" i="7" s="1"/>
  <c r="I358" i="7"/>
  <c r="S358" i="7" s="1"/>
  <c r="H375" i="7"/>
  <c r="R375" i="7" s="1"/>
  <c r="Q406" i="7"/>
  <c r="Q430" i="7"/>
  <c r="Q438" i="7"/>
  <c r="G447" i="7"/>
  <c r="Q65" i="7"/>
  <c r="R353" i="7"/>
  <c r="H360" i="7"/>
  <c r="R360" i="7" s="1"/>
  <c r="G360" i="7"/>
  <c r="I375" i="7"/>
  <c r="S375" i="7" s="1"/>
  <c r="Q388" i="7"/>
  <c r="Q403" i="7"/>
  <c r="Q414" i="7"/>
  <c r="Q426" i="7"/>
  <c r="Q443" i="7"/>
  <c r="H447" i="7"/>
  <c r="R447" i="7" s="1"/>
  <c r="I454" i="7"/>
  <c r="S454" i="7" s="1"/>
  <c r="H454" i="7"/>
  <c r="R454" i="7" s="1"/>
  <c r="G454" i="7"/>
  <c r="I386" i="7"/>
  <c r="S386" i="7" s="1"/>
  <c r="G386" i="7"/>
  <c r="I402" i="7"/>
  <c r="S402" i="7" s="1"/>
  <c r="G402" i="7"/>
  <c r="I418" i="7"/>
  <c r="S418" i="7" s="1"/>
  <c r="G418" i="7"/>
  <c r="Q431" i="7"/>
  <c r="I446" i="7"/>
  <c r="S446" i="7" s="1"/>
  <c r="H446" i="7"/>
  <c r="R446" i="7" s="1"/>
  <c r="G446" i="7"/>
  <c r="Q452" i="7"/>
  <c r="Q363" i="7"/>
  <c r="Q371" i="7"/>
  <c r="Q383" i="7"/>
  <c r="I390" i="7"/>
  <c r="S390" i="7" s="1"/>
  <c r="G390" i="7"/>
  <c r="G408" i="7"/>
  <c r="Q415" i="7"/>
  <c r="I422" i="7"/>
  <c r="S422" i="7" s="1"/>
  <c r="H422" i="7"/>
  <c r="R422" i="7" s="1"/>
  <c r="G422" i="7"/>
  <c r="Q424" i="7"/>
  <c r="G431" i="7"/>
  <c r="I450" i="7"/>
  <c r="S450" i="7" s="1"/>
  <c r="H450" i="7"/>
  <c r="R450" i="7" s="1"/>
  <c r="G450" i="7"/>
  <c r="Q456" i="7"/>
  <c r="Q460" i="7"/>
  <c r="Q319" i="7"/>
  <c r="Q351" i="7"/>
  <c r="H363" i="7"/>
  <c r="R363" i="7" s="1"/>
  <c r="H371" i="7"/>
  <c r="R371" i="7" s="1"/>
  <c r="H383" i="7"/>
  <c r="R383" i="7" s="1"/>
  <c r="Q402" i="7"/>
  <c r="I410" i="7"/>
  <c r="S410" i="7" s="1"/>
  <c r="G410" i="7"/>
  <c r="H415" i="7"/>
  <c r="R415" i="7" s="1"/>
  <c r="H424" i="7"/>
  <c r="R424" i="7" s="1"/>
  <c r="I431" i="7"/>
  <c r="S431" i="7" s="1"/>
  <c r="Q435" i="7"/>
  <c r="I452" i="7"/>
  <c r="S452" i="7" s="1"/>
  <c r="H456" i="7"/>
  <c r="R456" i="7" s="1"/>
  <c r="I458" i="7"/>
  <c r="S458" i="7" s="1"/>
  <c r="H458" i="7"/>
  <c r="R458" i="7" s="1"/>
  <c r="G458" i="7"/>
  <c r="G460" i="7"/>
  <c r="Q464" i="7"/>
  <c r="G305" i="7"/>
  <c r="G309" i="7"/>
  <c r="G313" i="7"/>
  <c r="G317" i="7"/>
  <c r="G321" i="7"/>
  <c r="G325" i="7"/>
  <c r="G329" i="7"/>
  <c r="G333" i="7"/>
  <c r="G337" i="7"/>
  <c r="G341" i="7"/>
  <c r="G345" i="7"/>
  <c r="G349" i="7"/>
  <c r="G353" i="7"/>
  <c r="G357" i="7"/>
  <c r="G361" i="7"/>
  <c r="G365" i="7"/>
  <c r="G369" i="7"/>
  <c r="G373" i="7"/>
  <c r="G377" i="7"/>
  <c r="G381" i="7"/>
  <c r="G385" i="7"/>
  <c r="G389" i="7"/>
  <c r="G393" i="7"/>
  <c r="G397" i="7"/>
  <c r="G401" i="7"/>
  <c r="G405" i="7"/>
  <c r="G409" i="7"/>
  <c r="G413" i="7"/>
  <c r="G417" i="7"/>
  <c r="G421" i="7"/>
  <c r="G425" i="7"/>
  <c r="G429" i="7"/>
  <c r="G433" i="7"/>
  <c r="G437" i="7"/>
  <c r="G441" i="7"/>
  <c r="G445" i="7"/>
  <c r="G449" i="7"/>
  <c r="G453" i="7"/>
  <c r="G457" i="7"/>
  <c r="G461" i="7"/>
  <c r="G465" i="7"/>
  <c r="H305" i="7"/>
  <c r="R305" i="7" s="1"/>
  <c r="H313" i="7"/>
  <c r="R313" i="7" s="1"/>
  <c r="H365" i="7"/>
  <c r="R365" i="7" s="1"/>
  <c r="H369" i="7"/>
  <c r="R369" i="7" s="1"/>
  <c r="H373" i="7"/>
  <c r="R373" i="7" s="1"/>
  <c r="H397" i="7"/>
  <c r="R397" i="7" s="1"/>
  <c r="H401" i="7"/>
  <c r="R401" i="7" s="1"/>
  <c r="H405" i="7"/>
  <c r="R405" i="7" s="1"/>
  <c r="H409" i="7"/>
  <c r="R409" i="7" s="1"/>
  <c r="H441" i="7"/>
  <c r="R441" i="7" s="1"/>
  <c r="H445" i="7"/>
  <c r="R445" i="7" s="1"/>
  <c r="H449" i="7"/>
  <c r="R449" i="7" s="1"/>
  <c r="H453" i="7"/>
  <c r="R453" i="7" s="1"/>
  <c r="H457" i="7"/>
  <c r="R457" i="7" s="1"/>
  <c r="H461" i="7"/>
  <c r="R461" i="7" s="1"/>
  <c r="H465" i="7"/>
  <c r="R465" i="7" s="1"/>
  <c r="Q146" i="7"/>
  <c r="Q194" i="7"/>
  <c r="Q205" i="7"/>
  <c r="Q225" i="7"/>
  <c r="I194" i="7"/>
  <c r="S194" i="7" s="1"/>
  <c r="I108" i="7"/>
  <c r="S108" i="7" s="1"/>
  <c r="Q181" i="7"/>
  <c r="Q238" i="7"/>
  <c r="H64" i="7"/>
  <c r="R64" i="7" s="1"/>
  <c r="R112" i="7"/>
  <c r="Q165" i="7"/>
  <c r="I80" i="7"/>
  <c r="S80" i="7" s="1"/>
  <c r="R88" i="7"/>
  <c r="S98" i="7"/>
  <c r="Q6" i="7"/>
  <c r="I22" i="7"/>
  <c r="S22" i="7" s="1"/>
  <c r="Q26" i="7"/>
  <c r="R80" i="7"/>
  <c r="Q162" i="7"/>
  <c r="I196" i="7"/>
  <c r="S196" i="7" s="1"/>
  <c r="H210" i="7"/>
  <c r="R210" i="7" s="1"/>
  <c r="Q201" i="7"/>
  <c r="Q22" i="7"/>
  <c r="R58" i="7"/>
  <c r="Q131" i="7"/>
  <c r="Q196" i="7"/>
  <c r="I210" i="7"/>
  <c r="S210" i="7" s="1"/>
  <c r="Q133" i="7"/>
  <c r="S103" i="7"/>
  <c r="Q210" i="7"/>
  <c r="Q193" i="7"/>
  <c r="Q101" i="7"/>
  <c r="Q202" i="7"/>
  <c r="Q209" i="7"/>
  <c r="I68" i="7"/>
  <c r="S68" i="7" s="1"/>
  <c r="Q99" i="7"/>
  <c r="H103" i="7"/>
  <c r="R103" i="7" s="1"/>
  <c r="I124" i="7"/>
  <c r="S124" i="7" s="1"/>
  <c r="H68" i="7"/>
  <c r="R68" i="7" s="1"/>
  <c r="I228" i="7"/>
  <c r="S228" i="7" s="1"/>
  <c r="Q83" i="7"/>
  <c r="Q104" i="7"/>
  <c r="Q108" i="7"/>
  <c r="Q112" i="7"/>
  <c r="Q212" i="7"/>
  <c r="Q68" i="7"/>
  <c r="I96" i="7"/>
  <c r="S96" i="7" s="1"/>
  <c r="Q156" i="7"/>
  <c r="Q197" i="7"/>
  <c r="Q228" i="7"/>
  <c r="S276" i="7"/>
  <c r="I185" i="7"/>
  <c r="S185" i="7" s="1"/>
  <c r="Q185" i="7"/>
  <c r="H218" i="7"/>
  <c r="R218" i="7" s="1"/>
  <c r="I218" i="7"/>
  <c r="S218" i="7" s="1"/>
  <c r="Q8" i="7"/>
  <c r="G82" i="7"/>
  <c r="G190" i="7"/>
  <c r="I190" i="7"/>
  <c r="S190" i="7" s="1"/>
  <c r="H190" i="7"/>
  <c r="R190" i="7" s="1"/>
  <c r="H82" i="7"/>
  <c r="R82" i="7" s="1"/>
  <c r="I128" i="7"/>
  <c r="S128" i="7" s="1"/>
  <c r="I97" i="7"/>
  <c r="S97" i="7" s="1"/>
  <c r="Q12" i="7"/>
  <c r="I116" i="7"/>
  <c r="S116" i="7" s="1"/>
  <c r="H120" i="7"/>
  <c r="R120" i="7" s="1"/>
  <c r="I120" i="7"/>
  <c r="S120" i="7" s="1"/>
  <c r="H140" i="7"/>
  <c r="R140" i="7" s="1"/>
  <c r="I140" i="7"/>
  <c r="S140" i="7" s="1"/>
  <c r="I200" i="7"/>
  <c r="S200" i="7" s="1"/>
  <c r="Q213" i="7"/>
  <c r="H208" i="7"/>
  <c r="R208" i="7" s="1"/>
  <c r="Q208" i="7"/>
  <c r="G234" i="7"/>
  <c r="H234" i="7"/>
  <c r="R234" i="7" s="1"/>
  <c r="I234" i="7"/>
  <c r="S234" i="7" s="1"/>
  <c r="H216" i="7"/>
  <c r="R216" i="7" s="1"/>
  <c r="Q216" i="7"/>
  <c r="I216" i="7"/>
  <c r="S216" i="7" s="1"/>
  <c r="I89" i="7"/>
  <c r="S89" i="7" s="1"/>
  <c r="Q89" i="7"/>
  <c r="Q116" i="7"/>
  <c r="Q50" i="7"/>
  <c r="I152" i="7"/>
  <c r="S152" i="7" s="1"/>
  <c r="Q100" i="7"/>
  <c r="Q152" i="7"/>
  <c r="Q128" i="7"/>
  <c r="Q218" i="7"/>
  <c r="R128" i="7"/>
  <c r="Q149" i="7"/>
  <c r="H192" i="7"/>
  <c r="R192" i="7" s="1"/>
  <c r="Q192" i="7"/>
  <c r="I88" i="7"/>
  <c r="S88" i="7" s="1"/>
  <c r="S222" i="7"/>
  <c r="Q88" i="7"/>
  <c r="Q85" i="7"/>
  <c r="R194" i="7"/>
  <c r="I100" i="7"/>
  <c r="S100" i="7" s="1"/>
  <c r="I182" i="7"/>
  <c r="S182" i="7" s="1"/>
  <c r="H182" i="7"/>
  <c r="R182" i="7" s="1"/>
  <c r="G182" i="7"/>
  <c r="Q182" i="7"/>
  <c r="Q125" i="7"/>
  <c r="H92" i="7"/>
  <c r="R92" i="7" s="1"/>
  <c r="I92" i="7"/>
  <c r="S92" i="7" s="1"/>
  <c r="H226" i="7"/>
  <c r="R226" i="7" s="1"/>
  <c r="I226" i="7"/>
  <c r="S226" i="7" s="1"/>
  <c r="I67" i="7"/>
  <c r="S67" i="7" s="1"/>
  <c r="Q67" i="7"/>
  <c r="G103" i="7"/>
  <c r="I236" i="7"/>
  <c r="S236" i="7" s="1"/>
  <c r="Q229" i="7"/>
  <c r="H106" i="7"/>
  <c r="R106" i="7" s="1"/>
  <c r="I106" i="7"/>
  <c r="S106" i="7" s="1"/>
  <c r="I144" i="7"/>
  <c r="S144" i="7" s="1"/>
  <c r="Q144" i="7"/>
  <c r="G153" i="7"/>
  <c r="I186" i="7"/>
  <c r="S186" i="7" s="1"/>
  <c r="I204" i="7"/>
  <c r="S204" i="7" s="1"/>
  <c r="G222" i="7"/>
  <c r="Q237" i="7"/>
  <c r="Q198" i="7"/>
  <c r="I188" i="7"/>
  <c r="S188" i="7" s="1"/>
  <c r="Q190" i="7"/>
  <c r="I114" i="7"/>
  <c r="S114" i="7" s="1"/>
  <c r="I224" i="7"/>
  <c r="S224" i="7" s="1"/>
  <c r="Q186" i="7"/>
  <c r="Q204" i="7"/>
  <c r="H222" i="7"/>
  <c r="R222" i="7" s="1"/>
  <c r="I230" i="7"/>
  <c r="S230" i="7" s="1"/>
  <c r="H230" i="7"/>
  <c r="R230" i="7" s="1"/>
  <c r="G230" i="7"/>
  <c r="R152" i="7"/>
  <c r="H206" i="7"/>
  <c r="R206" i="7" s="1"/>
  <c r="Q92" i="7"/>
  <c r="I104" i="7"/>
  <c r="S104" i="7" s="1"/>
  <c r="R153" i="7"/>
  <c r="Q53" i="7"/>
  <c r="H84" i="7"/>
  <c r="R84" i="7" s="1"/>
  <c r="I84" i="7"/>
  <c r="S84" i="7" s="1"/>
  <c r="I136" i="7"/>
  <c r="S136" i="7" s="1"/>
  <c r="Q141" i="7"/>
  <c r="I184" i="7"/>
  <c r="S184" i="7" s="1"/>
  <c r="R202" i="7"/>
  <c r="Q230" i="7"/>
  <c r="S233" i="7"/>
  <c r="Q120" i="7"/>
  <c r="I198" i="7"/>
  <c r="S198" i="7" s="1"/>
  <c r="H198" i="7"/>
  <c r="R198" i="7" s="1"/>
  <c r="G198" i="7"/>
  <c r="Q117" i="7"/>
  <c r="I214" i="7"/>
  <c r="S214" i="7" s="1"/>
  <c r="H214" i="7"/>
  <c r="R214" i="7" s="1"/>
  <c r="Q226" i="7"/>
  <c r="R104" i="7"/>
  <c r="I112" i="7"/>
  <c r="S112" i="7" s="1"/>
  <c r="H186" i="7"/>
  <c r="R186" i="7" s="1"/>
  <c r="Q64" i="7"/>
  <c r="G99" i="7"/>
  <c r="G194" i="7"/>
  <c r="G202" i="7"/>
  <c r="Q222" i="7"/>
  <c r="Q224" i="7"/>
  <c r="S258" i="7"/>
  <c r="S117" i="7"/>
  <c r="G206" i="7"/>
  <c r="S229" i="7"/>
  <c r="H132" i="7"/>
  <c r="R132" i="7" s="1"/>
  <c r="I132" i="7"/>
  <c r="S132" i="7" s="1"/>
  <c r="Q234" i="7"/>
  <c r="Q206" i="7"/>
  <c r="H232" i="7"/>
  <c r="R232" i="7" s="1"/>
  <c r="I232" i="7"/>
  <c r="S232" i="7" s="1"/>
  <c r="H99" i="7"/>
  <c r="R99" i="7" s="1"/>
  <c r="I202" i="7"/>
  <c r="S202" i="7" s="1"/>
  <c r="H220" i="7"/>
  <c r="R220" i="7" s="1"/>
  <c r="I220" i="7"/>
  <c r="S220" i="7" s="1"/>
  <c r="S13" i="7"/>
  <c r="Q43" i="7"/>
  <c r="R51" i="7"/>
  <c r="Q59" i="7"/>
  <c r="Q147" i="7"/>
  <c r="Q188" i="7"/>
  <c r="Q236" i="7"/>
  <c r="S6" i="7"/>
  <c r="R124" i="7"/>
  <c r="S143" i="7"/>
  <c r="Q184" i="7"/>
  <c r="Q200" i="7"/>
  <c r="Q84" i="7"/>
  <c r="H98" i="7"/>
  <c r="R98" i="7" s="1"/>
  <c r="Q103" i="7"/>
  <c r="R127" i="7"/>
  <c r="Q132" i="7"/>
  <c r="Q140" i="7"/>
  <c r="Q232" i="7"/>
  <c r="H22" i="7"/>
  <c r="R22" i="7" s="1"/>
  <c r="R96" i="7"/>
  <c r="Q124" i="7"/>
  <c r="I148" i="7"/>
  <c r="S148" i="7" s="1"/>
  <c r="I156" i="7"/>
  <c r="S156" i="7" s="1"/>
  <c r="I164" i="7"/>
  <c r="S164" i="7" s="1"/>
  <c r="R196" i="7"/>
  <c r="I212" i="7"/>
  <c r="S212" i="7" s="1"/>
  <c r="Q214" i="7"/>
  <c r="R228" i="7"/>
  <c r="S273" i="7"/>
  <c r="S286" i="7"/>
  <c r="S320" i="7"/>
  <c r="S305" i="7"/>
  <c r="S296" i="7"/>
  <c r="S259" i="7"/>
  <c r="S314" i="7"/>
  <c r="S272" i="7"/>
  <c r="S291" i="7"/>
  <c r="S299" i="7"/>
  <c r="S317" i="7"/>
  <c r="S292" i="7"/>
  <c r="S301" i="7"/>
  <c r="S279" i="7"/>
  <c r="Q183" i="7"/>
  <c r="I183" i="7"/>
  <c r="S183" i="7" s="1"/>
  <c r="Q187" i="7"/>
  <c r="I187" i="7"/>
  <c r="S187" i="7" s="1"/>
  <c r="Q191" i="7"/>
  <c r="I191" i="7"/>
  <c r="S191" i="7" s="1"/>
  <c r="H191" i="7"/>
  <c r="R191" i="7" s="1"/>
  <c r="Q223" i="7"/>
  <c r="I223" i="7"/>
  <c r="S223" i="7" s="1"/>
  <c r="H223" i="7"/>
  <c r="R223" i="7" s="1"/>
  <c r="G183" i="7"/>
  <c r="G187" i="7"/>
  <c r="G191" i="7"/>
  <c r="R204" i="7"/>
  <c r="G223" i="7"/>
  <c r="R236" i="7"/>
  <c r="H183" i="7"/>
  <c r="R183" i="7" s="1"/>
  <c r="H187" i="7"/>
  <c r="R187" i="7" s="1"/>
  <c r="Q219" i="7"/>
  <c r="I219" i="7"/>
  <c r="S219" i="7" s="1"/>
  <c r="H219" i="7"/>
  <c r="R219" i="7" s="1"/>
  <c r="Q215" i="7"/>
  <c r="I215" i="7"/>
  <c r="S215" i="7" s="1"/>
  <c r="H215" i="7"/>
  <c r="R215" i="7" s="1"/>
  <c r="G215" i="7"/>
  <c r="Q211" i="7"/>
  <c r="I211" i="7"/>
  <c r="S211" i="7" s="1"/>
  <c r="H211" i="7"/>
  <c r="R211" i="7" s="1"/>
  <c r="G211" i="7"/>
  <c r="R224" i="7"/>
  <c r="R180" i="7"/>
  <c r="R184" i="7"/>
  <c r="R188" i="7"/>
  <c r="Q207" i="7"/>
  <c r="I207" i="7"/>
  <c r="S207" i="7" s="1"/>
  <c r="H207" i="7"/>
  <c r="R207" i="7" s="1"/>
  <c r="G207" i="7"/>
  <c r="Q239" i="7"/>
  <c r="I239" i="7"/>
  <c r="S239" i="7" s="1"/>
  <c r="H239" i="7"/>
  <c r="R239" i="7" s="1"/>
  <c r="Q199" i="7"/>
  <c r="I199" i="7"/>
  <c r="S199" i="7" s="1"/>
  <c r="H199" i="7"/>
  <c r="R199" i="7" s="1"/>
  <c r="Q231" i="7"/>
  <c r="I231" i="7"/>
  <c r="S231" i="7" s="1"/>
  <c r="H231" i="7"/>
  <c r="R231" i="7" s="1"/>
  <c r="Q203" i="7"/>
  <c r="I203" i="7"/>
  <c r="S203" i="7" s="1"/>
  <c r="H203" i="7"/>
  <c r="R203" i="7" s="1"/>
  <c r="S193" i="7"/>
  <c r="G199" i="7"/>
  <c r="R212" i="7"/>
  <c r="Q235" i="7"/>
  <c r="I235" i="7"/>
  <c r="S235" i="7" s="1"/>
  <c r="H235" i="7"/>
  <c r="R235" i="7" s="1"/>
  <c r="Q195" i="7"/>
  <c r="I195" i="7"/>
  <c r="S195" i="7" s="1"/>
  <c r="H195" i="7"/>
  <c r="R195" i="7" s="1"/>
  <c r="Q227" i="7"/>
  <c r="I227" i="7"/>
  <c r="S227" i="7" s="1"/>
  <c r="H227" i="7"/>
  <c r="R227" i="7" s="1"/>
  <c r="G195" i="7"/>
  <c r="G227" i="7"/>
  <c r="G180" i="7"/>
  <c r="G188" i="7"/>
  <c r="G192" i="7"/>
  <c r="G196" i="7"/>
  <c r="G200" i="7"/>
  <c r="G204" i="7"/>
  <c r="G208" i="7"/>
  <c r="G212" i="7"/>
  <c r="G216" i="7"/>
  <c r="G220" i="7"/>
  <c r="G224" i="7"/>
  <c r="G228" i="7"/>
  <c r="G232" i="7"/>
  <c r="G236" i="7"/>
  <c r="G184" i="7"/>
  <c r="G181" i="7"/>
  <c r="G185" i="7"/>
  <c r="G189" i="7"/>
  <c r="G193" i="7"/>
  <c r="G197" i="7"/>
  <c r="G201" i="7"/>
  <c r="G205" i="7"/>
  <c r="G209" i="7"/>
  <c r="G213" i="7"/>
  <c r="G217" i="7"/>
  <c r="G221" i="7"/>
  <c r="G225" i="7"/>
  <c r="G229" i="7"/>
  <c r="G233" i="7"/>
  <c r="G237" i="7"/>
  <c r="H181" i="7"/>
  <c r="R181" i="7" s="1"/>
  <c r="H185" i="7"/>
  <c r="R185" i="7" s="1"/>
  <c r="H189" i="7"/>
  <c r="R189" i="7" s="1"/>
  <c r="H193" i="7"/>
  <c r="R193" i="7" s="1"/>
  <c r="H197" i="7"/>
  <c r="R197" i="7" s="1"/>
  <c r="H201" i="7"/>
  <c r="R201" i="7" s="1"/>
  <c r="H205" i="7"/>
  <c r="R205" i="7" s="1"/>
  <c r="H209" i="7"/>
  <c r="R209" i="7" s="1"/>
  <c r="H213" i="7"/>
  <c r="R213" i="7" s="1"/>
  <c r="H217" i="7"/>
  <c r="R217" i="7" s="1"/>
  <c r="H221" i="7"/>
  <c r="R221" i="7" s="1"/>
  <c r="H225" i="7"/>
  <c r="R225" i="7" s="1"/>
  <c r="H229" i="7"/>
  <c r="R229" i="7" s="1"/>
  <c r="H233" i="7"/>
  <c r="R233" i="7" s="1"/>
  <c r="H237" i="7"/>
  <c r="R237" i="7" s="1"/>
  <c r="H81" i="7"/>
  <c r="R81" i="7" s="1"/>
  <c r="Q81" i="7"/>
  <c r="I81" i="7"/>
  <c r="S81" i="7" s="1"/>
  <c r="G81" i="7"/>
  <c r="I155" i="7"/>
  <c r="S155" i="7" s="1"/>
  <c r="H155" i="7"/>
  <c r="R155" i="7" s="1"/>
  <c r="Q155" i="7"/>
  <c r="G155" i="7"/>
  <c r="Q90" i="7"/>
  <c r="H90" i="7"/>
  <c r="R90" i="7" s="1"/>
  <c r="I90" i="7"/>
  <c r="S90" i="7" s="1"/>
  <c r="Q111" i="7"/>
  <c r="I111" i="7"/>
  <c r="S111" i="7" s="1"/>
  <c r="G111" i="7"/>
  <c r="Q134" i="7"/>
  <c r="H134" i="7"/>
  <c r="R134" i="7" s="1"/>
  <c r="I134" i="7"/>
  <c r="S134" i="7" s="1"/>
  <c r="H111" i="7"/>
  <c r="R111" i="7" s="1"/>
  <c r="Q119" i="7"/>
  <c r="H119" i="7"/>
  <c r="R119" i="7" s="1"/>
  <c r="I119" i="7"/>
  <c r="S119" i="7" s="1"/>
  <c r="G119" i="7"/>
  <c r="S95" i="7"/>
  <c r="I105" i="7"/>
  <c r="S105" i="7" s="1"/>
  <c r="Q105" i="7"/>
  <c r="H105" i="7"/>
  <c r="R105" i="7" s="1"/>
  <c r="G122" i="7"/>
  <c r="H163" i="7"/>
  <c r="R163" i="7" s="1"/>
  <c r="I163" i="7"/>
  <c r="S163" i="7" s="1"/>
  <c r="Q163" i="7"/>
  <c r="G105" i="7"/>
  <c r="H122" i="7"/>
  <c r="R122" i="7" s="1"/>
  <c r="I161" i="7"/>
  <c r="S161" i="7" s="1"/>
  <c r="Q161" i="7"/>
  <c r="G161" i="7"/>
  <c r="H161" i="7"/>
  <c r="R161" i="7" s="1"/>
  <c r="G134" i="7"/>
  <c r="Q130" i="7"/>
  <c r="I130" i="7"/>
  <c r="S130" i="7" s="1"/>
  <c r="H130" i="7"/>
  <c r="R130" i="7" s="1"/>
  <c r="G163" i="7"/>
  <c r="I122" i="7"/>
  <c r="S122" i="7" s="1"/>
  <c r="G90" i="7"/>
  <c r="Q126" i="7"/>
  <c r="H126" i="7"/>
  <c r="R126" i="7" s="1"/>
  <c r="I126" i="7"/>
  <c r="S126" i="7" s="1"/>
  <c r="H107" i="7"/>
  <c r="R107" i="7" s="1"/>
  <c r="I107" i="7"/>
  <c r="S107" i="7" s="1"/>
  <c r="G138" i="7"/>
  <c r="I115" i="7"/>
  <c r="S115" i="7" s="1"/>
  <c r="H115" i="7"/>
  <c r="R115" i="7" s="1"/>
  <c r="H138" i="7"/>
  <c r="R138" i="7" s="1"/>
  <c r="R148" i="7"/>
  <c r="R100" i="7"/>
  <c r="Q135" i="7"/>
  <c r="G146" i="7"/>
  <c r="Q91" i="7"/>
  <c r="Q102" i="7"/>
  <c r="I102" i="7"/>
  <c r="S102" i="7" s="1"/>
  <c r="G135" i="7"/>
  <c r="H146" i="7"/>
  <c r="R146" i="7" s="1"/>
  <c r="R156" i="7"/>
  <c r="Q158" i="7"/>
  <c r="I158" i="7"/>
  <c r="S158" i="7" s="1"/>
  <c r="H158" i="7"/>
  <c r="R158" i="7" s="1"/>
  <c r="H85" i="7"/>
  <c r="R85" i="7" s="1"/>
  <c r="I94" i="7"/>
  <c r="S94" i="7" s="1"/>
  <c r="I85" i="7"/>
  <c r="S85" i="7" s="1"/>
  <c r="H87" i="7"/>
  <c r="R87" i="7" s="1"/>
  <c r="H102" i="7"/>
  <c r="R102" i="7" s="1"/>
  <c r="I131" i="7"/>
  <c r="S131" i="7" s="1"/>
  <c r="H131" i="7"/>
  <c r="R131" i="7" s="1"/>
  <c r="H154" i="7"/>
  <c r="R154" i="7" s="1"/>
  <c r="R164" i="7"/>
  <c r="Q107" i="7"/>
  <c r="G131" i="7"/>
  <c r="I137" i="7"/>
  <c r="S137" i="7" s="1"/>
  <c r="Q137" i="7"/>
  <c r="Q151" i="7"/>
  <c r="I154" i="7"/>
  <c r="S154" i="7" s="1"/>
  <c r="G162" i="7"/>
  <c r="Q166" i="7"/>
  <c r="I166" i="7"/>
  <c r="S166" i="7" s="1"/>
  <c r="H166" i="7"/>
  <c r="R166" i="7" s="1"/>
  <c r="G93" i="7"/>
  <c r="R108" i="7"/>
  <c r="Q110" i="7"/>
  <c r="H110" i="7"/>
  <c r="R110" i="7" s="1"/>
  <c r="I110" i="7"/>
  <c r="S110" i="7" s="1"/>
  <c r="G137" i="7"/>
  <c r="I139" i="7"/>
  <c r="S139" i="7" s="1"/>
  <c r="H139" i="7"/>
  <c r="R139" i="7" s="1"/>
  <c r="G151" i="7"/>
  <c r="G166" i="7"/>
  <c r="H93" i="7"/>
  <c r="R93" i="7" s="1"/>
  <c r="Q97" i="7"/>
  <c r="G110" i="7"/>
  <c r="Q115" i="7"/>
  <c r="H137" i="7"/>
  <c r="R137" i="7" s="1"/>
  <c r="G139" i="7"/>
  <c r="I145" i="7"/>
  <c r="S145" i="7" s="1"/>
  <c r="Q145" i="7"/>
  <c r="H151" i="7"/>
  <c r="R151" i="7" s="1"/>
  <c r="Q159" i="7"/>
  <c r="I162" i="7"/>
  <c r="S162" i="7" s="1"/>
  <c r="G94" i="7"/>
  <c r="G115" i="7"/>
  <c r="I138" i="7"/>
  <c r="S138" i="7" s="1"/>
  <c r="G85" i="7"/>
  <c r="H123" i="7"/>
  <c r="R123" i="7" s="1"/>
  <c r="I123" i="7"/>
  <c r="S123" i="7" s="1"/>
  <c r="G123" i="7"/>
  <c r="I129" i="7"/>
  <c r="S129" i="7" s="1"/>
  <c r="Q129" i="7"/>
  <c r="Q143" i="7"/>
  <c r="G154" i="7"/>
  <c r="G158" i="7"/>
  <c r="Q114" i="7"/>
  <c r="R116" i="7"/>
  <c r="Q118" i="7"/>
  <c r="I118" i="7"/>
  <c r="S118" i="7" s="1"/>
  <c r="H118" i="7"/>
  <c r="R118" i="7" s="1"/>
  <c r="I147" i="7"/>
  <c r="S147" i="7" s="1"/>
  <c r="H147" i="7"/>
  <c r="R147" i="7" s="1"/>
  <c r="I151" i="7"/>
  <c r="S151" i="7" s="1"/>
  <c r="Q142" i="7"/>
  <c r="I142" i="7"/>
  <c r="S142" i="7" s="1"/>
  <c r="H142" i="7"/>
  <c r="R142" i="7" s="1"/>
  <c r="G107" i="7"/>
  <c r="I113" i="7"/>
  <c r="S113" i="7" s="1"/>
  <c r="Q113" i="7"/>
  <c r="Q127" i="7"/>
  <c r="G142" i="7"/>
  <c r="G113" i="7"/>
  <c r="G127" i="7"/>
  <c r="Q150" i="7"/>
  <c r="I150" i="7"/>
  <c r="S150" i="7" s="1"/>
  <c r="H150" i="7"/>
  <c r="R150" i="7" s="1"/>
  <c r="H113" i="7"/>
  <c r="R113" i="7" s="1"/>
  <c r="I121" i="7"/>
  <c r="S121" i="7" s="1"/>
  <c r="Q121" i="7"/>
  <c r="H94" i="7"/>
  <c r="R94" i="7" s="1"/>
  <c r="G121" i="7"/>
  <c r="I127" i="7"/>
  <c r="S127" i="7" s="1"/>
  <c r="G87" i="7"/>
  <c r="G91" i="7"/>
  <c r="G102" i="7"/>
  <c r="H121" i="7"/>
  <c r="R121" i="7" s="1"/>
  <c r="H135" i="7"/>
  <c r="R135" i="7" s="1"/>
  <c r="I146" i="7"/>
  <c r="S146" i="7" s="1"/>
  <c r="H91" i="7"/>
  <c r="R91" i="7" s="1"/>
  <c r="G129" i="7"/>
  <c r="I135" i="7"/>
  <c r="S135" i="7" s="1"/>
  <c r="G143" i="7"/>
  <c r="I87" i="7"/>
  <c r="S87" i="7" s="1"/>
  <c r="I91" i="7"/>
  <c r="S91" i="7" s="1"/>
  <c r="H129" i="7"/>
  <c r="R129" i="7" s="1"/>
  <c r="H143" i="7"/>
  <c r="R143" i="7" s="1"/>
  <c r="H162" i="7"/>
  <c r="R162" i="7" s="1"/>
  <c r="Q82" i="7"/>
  <c r="H97" i="7"/>
  <c r="R97" i="7" s="1"/>
  <c r="S101" i="7"/>
  <c r="G114" i="7"/>
  <c r="G118" i="7"/>
  <c r="Q123" i="7"/>
  <c r="H145" i="7"/>
  <c r="R145" i="7" s="1"/>
  <c r="G147" i="7"/>
  <c r="I153" i="7"/>
  <c r="S153" i="7" s="1"/>
  <c r="Q153" i="7"/>
  <c r="H159" i="7"/>
  <c r="R159" i="7" s="1"/>
  <c r="G83" i="7"/>
  <c r="Q86" i="7"/>
  <c r="G101" i="7"/>
  <c r="H83" i="7"/>
  <c r="R83" i="7" s="1"/>
  <c r="G89" i="7"/>
  <c r="G95" i="7"/>
  <c r="S149" i="7"/>
  <c r="G86" i="7"/>
  <c r="H89" i="7"/>
  <c r="R89" i="7" s="1"/>
  <c r="H95" i="7"/>
  <c r="R95" i="7" s="1"/>
  <c r="Q98" i="7"/>
  <c r="H101" i="7"/>
  <c r="R101" i="7" s="1"/>
  <c r="G109" i="7"/>
  <c r="G117" i="7"/>
  <c r="G125" i="7"/>
  <c r="G133" i="7"/>
  <c r="G141" i="7"/>
  <c r="G149" i="7"/>
  <c r="G157" i="7"/>
  <c r="G165" i="7"/>
  <c r="H86" i="7"/>
  <c r="R86" i="7" s="1"/>
  <c r="G98" i="7"/>
  <c r="Q106" i="7"/>
  <c r="H109" i="7"/>
  <c r="R109" i="7" s="1"/>
  <c r="H117" i="7"/>
  <c r="R117" i="7" s="1"/>
  <c r="H125" i="7"/>
  <c r="R125" i="7" s="1"/>
  <c r="H133" i="7"/>
  <c r="R133" i="7" s="1"/>
  <c r="H141" i="7"/>
  <c r="R141" i="7" s="1"/>
  <c r="H149" i="7"/>
  <c r="R149" i="7" s="1"/>
  <c r="H157" i="7"/>
  <c r="R157" i="7" s="1"/>
  <c r="H165" i="7"/>
  <c r="R165" i="7" s="1"/>
  <c r="G80" i="7"/>
  <c r="G84" i="7"/>
  <c r="G88" i="7"/>
  <c r="G92" i="7"/>
  <c r="G96" i="7"/>
  <c r="G100" i="7"/>
  <c r="G104" i="7"/>
  <c r="G108" i="7"/>
  <c r="G112" i="7"/>
  <c r="G116" i="7"/>
  <c r="G120" i="7"/>
  <c r="G124" i="7"/>
  <c r="G128" i="7"/>
  <c r="G132" i="7"/>
  <c r="G136" i="7"/>
  <c r="G140" i="7"/>
  <c r="G144" i="7"/>
  <c r="G148" i="7"/>
  <c r="G152" i="7"/>
  <c r="G156" i="7"/>
  <c r="G160" i="7"/>
  <c r="G164" i="7"/>
  <c r="S165" i="7"/>
  <c r="S133" i="7"/>
  <c r="S278" i="7"/>
  <c r="S330" i="7"/>
  <c r="S181" i="7"/>
  <c r="S262" i="7"/>
  <c r="S201" i="7"/>
  <c r="S342" i="7"/>
  <c r="S237" i="7"/>
  <c r="S192" i="7"/>
  <c r="S335" i="7"/>
  <c r="S225" i="7"/>
  <c r="S206" i="7"/>
  <c r="S295" i="7"/>
  <c r="S208" i="7"/>
  <c r="G67" i="7"/>
  <c r="H67" i="7"/>
  <c r="R67" i="7" s="1"/>
  <c r="S197" i="7"/>
  <c r="S125" i="7"/>
  <c r="S99" i="7"/>
  <c r="I66" i="7"/>
  <c r="S66" i="7" s="1"/>
  <c r="Q66" i="7"/>
  <c r="S336" i="7"/>
  <c r="S221" i="7"/>
  <c r="S83" i="7"/>
  <c r="S213" i="7"/>
  <c r="S209" i="7"/>
  <c r="S205" i="7"/>
  <c r="S217" i="7"/>
  <c r="S313" i="7"/>
  <c r="S109" i="7"/>
  <c r="S189" i="7"/>
  <c r="S157" i="7"/>
  <c r="S141" i="7"/>
  <c r="S261" i="7"/>
  <c r="S93" i="7"/>
  <c r="I58" i="7"/>
  <c r="S58" i="7" s="1"/>
  <c r="H10" i="7"/>
  <c r="R10" i="7" s="1"/>
  <c r="S7" i="7"/>
  <c r="I10" i="7"/>
  <c r="S10" i="7" s="1"/>
  <c r="I24" i="7"/>
  <c r="S24" i="7" s="1"/>
  <c r="H45" i="7"/>
  <c r="R45" i="7" s="1"/>
  <c r="Q18" i="7"/>
  <c r="Q24" i="7"/>
  <c r="Q28" i="7"/>
  <c r="Q45" i="7"/>
  <c r="Q55" i="7"/>
  <c r="R63" i="7"/>
  <c r="I19" i="7"/>
  <c r="S19" i="7" s="1"/>
  <c r="Q61" i="7"/>
  <c r="Q38" i="7"/>
  <c r="H53" i="7"/>
  <c r="R53" i="7" s="1"/>
  <c r="S60" i="7"/>
  <c r="I53" i="7"/>
  <c r="S53" i="7" s="1"/>
  <c r="Q60" i="7"/>
  <c r="H32" i="7"/>
  <c r="R32" i="7" s="1"/>
  <c r="I32" i="7"/>
  <c r="S32" i="7" s="1"/>
  <c r="H44" i="7"/>
  <c r="R44" i="7" s="1"/>
  <c r="G32" i="7"/>
  <c r="I44" i="7"/>
  <c r="S44" i="7" s="1"/>
  <c r="S62" i="7"/>
  <c r="H39" i="7"/>
  <c r="R39" i="7" s="1"/>
  <c r="Q39" i="7"/>
  <c r="I51" i="7"/>
  <c r="S51" i="7" s="1"/>
  <c r="G60" i="7"/>
  <c r="Q48" i="7"/>
  <c r="Q54" i="7"/>
  <c r="H60" i="7"/>
  <c r="R60" i="7" s="1"/>
  <c r="G13" i="7"/>
  <c r="G6" i="7"/>
  <c r="H6" i="7"/>
  <c r="R6" i="7" s="1"/>
  <c r="S46" i="7"/>
  <c r="G4" i="7"/>
  <c r="I23" i="7"/>
  <c r="S23" i="7" s="1"/>
  <c r="H23" i="7"/>
  <c r="R23" i="7" s="1"/>
  <c r="I29" i="7"/>
  <c r="S29" i="7" s="1"/>
  <c r="Q29" i="7"/>
  <c r="G29" i="7"/>
  <c r="Q44" i="7"/>
  <c r="G56" i="7"/>
  <c r="I56" i="7"/>
  <c r="S56" i="7" s="1"/>
  <c r="Q15" i="7"/>
  <c r="S38" i="7"/>
  <c r="Q42" i="7"/>
  <c r="I42" i="7"/>
  <c r="S42" i="7" s="1"/>
  <c r="H42" i="7"/>
  <c r="R42" i="7" s="1"/>
  <c r="G42" i="7"/>
  <c r="G48" i="7"/>
  <c r="I54" i="7"/>
  <c r="S54" i="7" s="1"/>
  <c r="H54" i="7"/>
  <c r="R54" i="7" s="1"/>
  <c r="I48" i="7"/>
  <c r="S48" i="7" s="1"/>
  <c r="G54" i="7"/>
  <c r="H8" i="7"/>
  <c r="R8" i="7" s="1"/>
  <c r="I8" i="7"/>
  <c r="S8" i="7" s="1"/>
  <c r="H13" i="7"/>
  <c r="R13" i="7" s="1"/>
  <c r="R31" i="7"/>
  <c r="Q34" i="7"/>
  <c r="H37" i="7"/>
  <c r="R37" i="7" s="1"/>
  <c r="I37" i="7"/>
  <c r="S37" i="7" s="1"/>
  <c r="G58" i="7"/>
  <c r="Q37" i="7"/>
  <c r="I3" i="7"/>
  <c r="S3" i="7" s="1"/>
  <c r="I12" i="7"/>
  <c r="S12" i="7" s="1"/>
  <c r="R19" i="7"/>
  <c r="H26" i="7"/>
  <c r="R26" i="7" s="1"/>
  <c r="H38" i="7"/>
  <c r="R38" i="7" s="1"/>
  <c r="Q13" i="7"/>
  <c r="R35" i="7"/>
  <c r="G16" i="7"/>
  <c r="H21" i="7"/>
  <c r="R21" i="7" s="1"/>
  <c r="Q23" i="7"/>
  <c r="G28" i="7"/>
  <c r="Q32" i="7"/>
  <c r="I35" i="7"/>
  <c r="S35" i="7" s="1"/>
  <c r="G63" i="7"/>
  <c r="H5" i="7"/>
  <c r="R5" i="7" s="1"/>
  <c r="H7" i="7"/>
  <c r="R7" i="7" s="1"/>
  <c r="I16" i="7"/>
  <c r="S16" i="7" s="1"/>
  <c r="I21" i="7"/>
  <c r="S21" i="7" s="1"/>
  <c r="H28" i="7"/>
  <c r="R28" i="7" s="1"/>
  <c r="R56" i="7"/>
  <c r="I5" i="7"/>
  <c r="S5" i="7" s="1"/>
  <c r="Q7" i="7"/>
  <c r="Q21" i="7"/>
  <c r="S30" i="7"/>
  <c r="H40" i="7"/>
  <c r="R40" i="7" s="1"/>
  <c r="G61" i="7"/>
  <c r="Q5" i="7"/>
  <c r="G12" i="7"/>
  <c r="G26" i="7"/>
  <c r="G38" i="7"/>
  <c r="I40" i="7"/>
  <c r="S40" i="7" s="1"/>
  <c r="H61" i="7"/>
  <c r="R61" i="7" s="1"/>
  <c r="Q16" i="7"/>
  <c r="I26" i="7"/>
  <c r="S26" i="7" s="1"/>
  <c r="S45" i="7"/>
  <c r="H24" i="7"/>
  <c r="R24" i="7" s="1"/>
  <c r="G45" i="7"/>
  <c r="H55" i="7"/>
  <c r="R55" i="7" s="1"/>
  <c r="Q31" i="7"/>
  <c r="I31" i="7"/>
  <c r="S31" i="7" s="1"/>
  <c r="Q36" i="7"/>
  <c r="I36" i="7"/>
  <c r="S36" i="7" s="1"/>
  <c r="H36" i="7"/>
  <c r="R36" i="7" s="1"/>
  <c r="Q58" i="7"/>
  <c r="Q47" i="7"/>
  <c r="I47" i="7"/>
  <c r="S47" i="7" s="1"/>
  <c r="G15" i="7"/>
  <c r="G47" i="7"/>
  <c r="H15" i="7"/>
  <c r="R15" i="7" s="1"/>
  <c r="H47" i="7"/>
  <c r="R47" i="7" s="1"/>
  <c r="I9" i="7"/>
  <c r="S9" i="7" s="1"/>
  <c r="H9" i="7"/>
  <c r="R9" i="7" s="1"/>
  <c r="Q9" i="7"/>
  <c r="I15" i="7"/>
  <c r="S15" i="7" s="1"/>
  <c r="Q52" i="7"/>
  <c r="I52" i="7"/>
  <c r="S52" i="7" s="1"/>
  <c r="H52" i="7"/>
  <c r="R52" i="7" s="1"/>
  <c r="G9" i="7"/>
  <c r="S28" i="7"/>
  <c r="S39" i="7"/>
  <c r="I50" i="7"/>
  <c r="S50" i="7" s="1"/>
  <c r="H50" i="7"/>
  <c r="R50" i="7" s="1"/>
  <c r="G50" i="7"/>
  <c r="G52" i="7"/>
  <c r="Q63" i="7"/>
  <c r="I63" i="7"/>
  <c r="S63" i="7" s="1"/>
  <c r="I25" i="7"/>
  <c r="S25" i="7" s="1"/>
  <c r="H25" i="7"/>
  <c r="R25" i="7" s="1"/>
  <c r="G25" i="7"/>
  <c r="Q25" i="7"/>
  <c r="I34" i="7"/>
  <c r="S34" i="7" s="1"/>
  <c r="H34" i="7"/>
  <c r="R34" i="7" s="1"/>
  <c r="G34" i="7"/>
  <c r="Q11" i="7"/>
  <c r="I41" i="7"/>
  <c r="S41" i="7" s="1"/>
  <c r="H41" i="7"/>
  <c r="R41" i="7" s="1"/>
  <c r="G41" i="7"/>
  <c r="Q41" i="7"/>
  <c r="R12" i="7"/>
  <c r="I18" i="7"/>
  <c r="S18" i="7" s="1"/>
  <c r="H18" i="7"/>
  <c r="R18" i="7" s="1"/>
  <c r="G18" i="7"/>
  <c r="Q20" i="7"/>
  <c r="I20" i="7"/>
  <c r="S20" i="7" s="1"/>
  <c r="H20" i="7"/>
  <c r="R20" i="7" s="1"/>
  <c r="Q4" i="7"/>
  <c r="I4" i="7"/>
  <c r="S4" i="7" s="1"/>
  <c r="Q10" i="7"/>
  <c r="G20" i="7"/>
  <c r="R48" i="7"/>
  <c r="S55" i="7"/>
  <c r="Q57" i="7"/>
  <c r="I57" i="7"/>
  <c r="S57" i="7" s="1"/>
  <c r="H57" i="7"/>
  <c r="R57" i="7" s="1"/>
  <c r="G57" i="7"/>
  <c r="I14" i="7"/>
  <c r="S14" i="7" s="1"/>
  <c r="H14" i="7"/>
  <c r="R14" i="7" s="1"/>
  <c r="G14" i="7"/>
  <c r="Q14" i="7"/>
  <c r="G31" i="7"/>
  <c r="H33" i="7"/>
  <c r="R33" i="7" s="1"/>
  <c r="H49" i="7"/>
  <c r="R49" i="7" s="1"/>
  <c r="G11" i="7"/>
  <c r="I17" i="7"/>
  <c r="S17" i="7" s="1"/>
  <c r="G27" i="7"/>
  <c r="Q30" i="7"/>
  <c r="I33" i="7"/>
  <c r="S33" i="7" s="1"/>
  <c r="G43" i="7"/>
  <c r="Q46" i="7"/>
  <c r="I49" i="7"/>
  <c r="S49" i="7" s="1"/>
  <c r="G59" i="7"/>
  <c r="Q62" i="7"/>
  <c r="H17" i="7"/>
  <c r="R17" i="7" s="1"/>
  <c r="H11" i="7"/>
  <c r="R11" i="7" s="1"/>
  <c r="Q19" i="7"/>
  <c r="H27" i="7"/>
  <c r="R27" i="7" s="1"/>
  <c r="Q35" i="7"/>
  <c r="H43" i="7"/>
  <c r="R43" i="7" s="1"/>
  <c r="Q51" i="7"/>
  <c r="H59" i="7"/>
  <c r="R59" i="7" s="1"/>
  <c r="I11" i="7"/>
  <c r="S11" i="7" s="1"/>
  <c r="I27" i="7"/>
  <c r="S27" i="7" s="1"/>
  <c r="Q40" i="7"/>
  <c r="I43" i="7"/>
  <c r="S43" i="7" s="1"/>
  <c r="Q56" i="7"/>
  <c r="I59" i="7"/>
  <c r="S59" i="7" s="1"/>
  <c r="Q17" i="7"/>
  <c r="G30" i="7"/>
  <c r="Q33" i="7"/>
  <c r="G46" i="7"/>
  <c r="Q49" i="7"/>
  <c r="G3" i="7"/>
  <c r="G19" i="7"/>
  <c r="H30" i="7"/>
  <c r="R30" i="7" s="1"/>
  <c r="G35" i="7"/>
  <c r="H46" i="7"/>
  <c r="R46" i="7" s="1"/>
  <c r="G51" i="7"/>
  <c r="H62" i="7"/>
  <c r="R62" i="7" s="1"/>
  <c r="G62" i="7"/>
  <c r="G7" i="7"/>
  <c r="G23" i="7"/>
  <c r="G39" i="7"/>
  <c r="G55" i="7"/>
</calcChain>
</file>

<file path=xl/sharedStrings.xml><?xml version="1.0" encoding="utf-8"?>
<sst xmlns="http://schemas.openxmlformats.org/spreadsheetml/2006/main" count="526" uniqueCount="519">
  <si>
    <t>রুট নং</t>
  </si>
  <si>
    <t>ডিডিআর-01</t>
  </si>
  <si>
    <t>ডিডিআর-02</t>
  </si>
  <si>
    <t>ডিডিআর-03</t>
  </si>
  <si>
    <t>ডিডিআর-04</t>
  </si>
  <si>
    <t>ডিডিআর-05</t>
  </si>
  <si>
    <t>ডিডিআর-06</t>
  </si>
  <si>
    <t>ডিডিআর-07</t>
  </si>
  <si>
    <t>ডিডিআর-08</t>
  </si>
  <si>
    <t>ডিডিআর-09</t>
  </si>
  <si>
    <t>ডিডিআর-10</t>
  </si>
  <si>
    <t>ডিডিআর-11</t>
  </si>
  <si>
    <t>ডিডিআর-12</t>
  </si>
  <si>
    <t>ডিডিআর-13</t>
  </si>
  <si>
    <t>ডিডিআর-14</t>
  </si>
  <si>
    <t>ডিডিআর-15</t>
  </si>
  <si>
    <t>ডিডিআর-16</t>
  </si>
  <si>
    <t>ডিডিআর-17</t>
  </si>
  <si>
    <t>ডিডিআর-18</t>
  </si>
  <si>
    <t>ডিডিআর-19</t>
  </si>
  <si>
    <t>ডিডিআর-20</t>
  </si>
  <si>
    <t>ডিডিআর-21</t>
  </si>
  <si>
    <t>ডিডিআর-22</t>
  </si>
  <si>
    <t>ডিডিআর-23</t>
  </si>
  <si>
    <t>ডিডিআর-24</t>
  </si>
  <si>
    <t>ডিডিআর-25</t>
  </si>
  <si>
    <t>ডিডিআর-26</t>
  </si>
  <si>
    <t>ডিডিআর-27</t>
  </si>
  <si>
    <t>ডিডিআর-28</t>
  </si>
  <si>
    <t>ডিডিআর-29</t>
  </si>
  <si>
    <t>ডিডিআর-30</t>
  </si>
  <si>
    <t>ডিডিআর-31</t>
  </si>
  <si>
    <t>ডিডিআর-32</t>
  </si>
  <si>
    <t>ডিডিআর-33</t>
  </si>
  <si>
    <t>ডিডিআর-34</t>
  </si>
  <si>
    <t>ডিডিআর-35</t>
  </si>
  <si>
    <t>ডিডিআর-36</t>
  </si>
  <si>
    <t>ডিডিআর-37</t>
  </si>
  <si>
    <t>ডিডিআর-38</t>
  </si>
  <si>
    <t>রুটের বর্ণনা</t>
  </si>
  <si>
    <t>ঢাকা (মহাখালী)- টাঙ্গাইল, ভায়া- আশুলিয়া, চন্দ্রা।</t>
  </si>
  <si>
    <t>ঢাকা (মহাখালী)- গোপালপুর, ভায়া- আশুলিয়া, চন্দ্রা, টাঙ্গাইল, ঘাটাইল।</t>
  </si>
  <si>
    <t>ঢাকা (মহাখালী)- দেলদুয়ার, ভায়া- আশুলিয়া, চন্দ্রা।</t>
  </si>
  <si>
    <t>ঢাকা (মহাখালী)- সখিপুর, ভায়া- সাগরদিঘী।</t>
  </si>
  <si>
    <t>ঢাকা (সায়দাবাদ)-কিশোরগঞ্জ, ভায়া- নরসিংদী, ভৈরব।</t>
  </si>
  <si>
    <t>ঢাকা (গাবতলী)- ফরিদপুর, ভায়া- পাটুরিয়া।</t>
  </si>
  <si>
    <t>ঢাকা (গাবতলী)- মাদারীপুর, ভায়া- পাটুরিয়া, ফরিদপুর।</t>
  </si>
  <si>
    <t>ঢাকা (সায়দাবাদ)-গোপালগঞ্জ, ভায়া-পদ্মা বহুমুখী সেতু, ভাঙ্গা, রাজৈর।</t>
  </si>
  <si>
    <t>ঢাকা (গাবতলী)- রাজবাড়ী, ভায়া- পাটুরিয়া, গোয়ালন্দ।</t>
  </si>
  <si>
    <t>ঢাকা (সায়দাবাদ)-শরিয়তপুর, ভায়া- পদ্মা বহুমুখী সেতু, জাজিরা।</t>
  </si>
  <si>
    <t>ঢাকা (মহাখালী)- নাগরপুর, ভায়া- আশুলিয়া, চন্দ্রা, দেলদুয়ার।</t>
  </si>
  <si>
    <t>ঢাকা (মহাখালী)- সাগরদিঘী, ভায়া- আশুলিয়া, চন্দ্রা।</t>
  </si>
  <si>
    <t>ঢাকা (সায়দাবাদ)-ভৈরব, ভায়া- নরসিংদী।</t>
  </si>
  <si>
    <t>ঢাকা (গাবতলী)- গোপালগঞ্জ, ভায়া- পাটুরিয়া, ফরিদপুর, মোকসেদপুর।</t>
  </si>
  <si>
    <t>ঢাকা (সায়দাবাদ)-ফরিদপুর, ভায়া- পদ্মা বহুমুখী সেতু, ভাঙ্গা।</t>
  </si>
  <si>
    <t>ঢাকা (মহাখালী)- পাকুন্দিয়া ভায়া-টঙ্গী, কাপাসিয়া।</t>
  </si>
  <si>
    <t>ঢাকা (মহাখালী)- কিশোরগঞ্জ ভায়া-টঙ্গী, কাপাসিয়া।</t>
  </si>
  <si>
    <t>ঢাকা (মহাখালী)- হোসেনপুর (কিশোরগঞ্জ) ভায়া-টঙ্গী, কাপাসিয়া।</t>
  </si>
  <si>
    <t>ঢাকা (মহাখালী)- কটিয়াদি ভায়া- টঙ্গী, কাপাসিয়া।</t>
  </si>
  <si>
    <t>ঢাকা (সায়দাবাদ)-চামড়া বন্দর, ভায়া-টঙ্গী নরসিংদী, ভৈরব।</t>
  </si>
  <si>
    <t>ঢাকা (সায়দাবাদ)-মুন্সীগঞ্জ, ভায়া- মুক্তারপুর।</t>
  </si>
  <si>
    <t>ঢাকা (সায়দাবাদ)-শরিয়তপুর, ভায়া- বুড়িগঙ্গা ২য় সেতু, পদ্মা বহুমুখী সেতু, জাজিরা।</t>
  </si>
  <si>
    <t>ঢাকা (সায়দাবাদ)-মনোহরদী, ভায়া- নরসিংদী।</t>
  </si>
  <si>
    <t>ঢাকা (সায়দাবাদ)-দিঘীরপাড়, ভায়া- মুক্তারপুর, মুন্সীগঞ্জ।</t>
  </si>
  <si>
    <t>গাজীপুর (চৌরাস্তা)- মাওয়া ঘাট, ভায়া- কুড়িল বিশ্বরোড, রামপুরা, পোস্তগোলা সেতু।</t>
  </si>
  <si>
    <t>ঢাকা (মহাখালী)-চামড়া বন্দর, ভায়া-টঙ্গী, কালিগঞ্জ, ঘোঁড়াশাল, নরসিংদী, ভৈরব, কিশোরগঞ্জ</t>
  </si>
  <si>
    <t>ঢাকা (মহাখালী)- ভুয়াপুর, ভায়া- আশুলিয়া, চন্দ্রা, টাঙ্গাইল</t>
  </si>
  <si>
    <t>ঢাকা (মহাখালী)- কেন্দুয়া বাজার, ভায়া- টাঙ্গাইল, মধুপুর</t>
  </si>
  <si>
    <t>ঢাকা (গাবতলী)- মোকসেদপুর, ভায়া- পাটুরিয়া, ফরিদপুর</t>
  </si>
  <si>
    <t>ঢাকা (গাবতলী)- আলফাডাঙ্গা, ভায়া- পাটুরিয়া, ফরিদপুর</t>
  </si>
  <si>
    <t>ঢাকা (সায়দাবাদ)-মাদারীপুর, ভায়া- পদ্মা বহুমুখী সেতু, ভাঙ্গা</t>
  </si>
  <si>
    <t>ঢাকা (মহাখালী)- ভৈরব ভায়া- কালিগঞ্জ, ঘোড়াশাল, নরসিংদী</t>
  </si>
  <si>
    <t>ক্রম</t>
  </si>
  <si>
    <t>টোল</t>
  </si>
  <si>
    <t>ঢাকা (গাবতলী)- বরিশাল, ভায়া- পাটুরিয়া, ফরিদপুর, মাদারীপুর।</t>
  </si>
  <si>
    <t>ঢাকা (গাবতলী)- পটুয়াখালী, ভায়া- পাটুরিয়া, ফরিদপুর, মাদারীপুর, বরিশাল।</t>
  </si>
  <si>
    <t>ঢাকা (মহাখালী)- মুক্তাগাছা, ভায়া- ভালুকা, ময়মনসিংহ।</t>
  </si>
  <si>
    <t>ঢাকা (মহাখালী)- ফুলবাড়ীয়া, ভায়া- ভালুকা, ময়মনসিংহ।</t>
  </si>
  <si>
    <t>ঢাকা (মহাখালী)- গৌরীপুর, ভায়া- ভালুকা, ময়মনসিংহ।</t>
  </si>
  <si>
    <t>ঢাকা (মহাখালী)- হালুয়াঘাট, ভায়া- ভালুকা, ময়মনসিংহ।</t>
  </si>
  <si>
    <t>ঢাকা (মহাখালী)- গফরগাঁও, ভায়া- ভালুকা।</t>
  </si>
  <si>
    <t>ঢাকা (মহাখালী)- তারাকান্দা, ভায়া- ভালুকা, ময়মনসিংহ।</t>
  </si>
  <si>
    <t>ঢাকা (মহাখালী)- কেশরগঞ্জ, ভায়া- ভালুকা, ময়মনসিংহ, ফুলবাড়ীয়া।</t>
  </si>
  <si>
    <t>ঢাকা (মহাখালী)- জামালপুর, ভায়া-আশুলিয়া, টাঙ্গাইল, মধুপুর।</t>
  </si>
  <si>
    <t>ঢাকা (মহাখালী)- জামালপুর, ভায়া- ভালুকা, ময়মনসিংহ, মধুপুর।</t>
  </si>
  <si>
    <t>ঢাকা (মহাখালী)- সরিষাবাড়ী, ভায়া- আশুলিয়া, টাঙ্গাইল।</t>
  </si>
  <si>
    <t>ঢাকা (মহাখালী)- তারাকান্দি, ভায়া- আশুলিয়া, চন্দ্রা, টাঙ্গাইল, মধুপুর।</t>
  </si>
  <si>
    <t>ঢাকা (মহাখালী)- নান্দিনা, ভায়া- আশুলিয়া, টাঙ্গাইল, জামালপুর।</t>
  </si>
  <si>
    <t>ঢাকা (মহাখালী)- নেত্রকোনা, ভায়া- ভালুকা, ময়মনসিংহ।</t>
  </si>
  <si>
    <t>ঢাকা(মহাখালী)- কেন্দুয়া, ভায়া- ভালুকা, ময়মনসিংহ।</t>
  </si>
  <si>
    <t>ঢাকা (মহাখালী)-কেন্দুয়া, ভায়া-টঙ্গী, রাজেন্দ্রপুর, কাপাসিয়া, কটিয়াদী, কিশোরগঞ্জ, নান্দাইল চৌরাস্তা।</t>
  </si>
  <si>
    <t>ঢাকা (মহাখালী)- নাজিরপুর, ভায়া- ভালুকা, ময়মনসিংহ, পূর্বধলা।</t>
  </si>
  <si>
    <t>ঢাকা (মহাখালী)- শেরপুর, ভায়া-ভালুকা, ময়মনসিংহ, জামালপুর</t>
  </si>
  <si>
    <t>ঢাকা (মহাখালী)- শেরপুর, ভায়া- টাঙ্গাইল, জামালপুর।</t>
  </si>
  <si>
    <t>ঢাকা (মহাখালী)- শেরপুর, ভায়া- ভালুকা, ময়মনসিংহ, নকলা।</t>
  </si>
  <si>
    <t>ঢাকা (মহাখালী)- নালিতাবাড়ী, ভায়া- টাঙ্গাইল, জামালপুর, শেরপুর।</t>
  </si>
  <si>
    <t>ঢাকা (মহাখালী)-নালিতাবাড়ী ভায়া- ভালুকা, ময়মনসিংহ।</t>
  </si>
  <si>
    <t>ঢাকা (মহাখালী)- রাজশাহী, ভায়া- আশুলিয়া, চন্দ্রা, টাঙ্গাইল, যমুনা সেতু, বড়াইগ্রাম, নাটোর।</t>
  </si>
  <si>
    <t>ঢাকা (মহাখালী)- রাজশাহী, ভায়া- গাজীপুর চৌরাস্তা, চন্দ্রা, টাঙ্গাইল, যমুনা সেতু, বড়াইগ্রাম, নাটোর।</t>
  </si>
  <si>
    <t>ঢাকা (মহাখালী)- বগুড়া, ভায়া- আশুলিয়া, চন্দ্রা, টাঙ্গাইল, যমুনা সেতু, হাটিকুমরুল।</t>
  </si>
  <si>
    <t>ঢাকা (মহাখালী)- সিরাজগঞ্জ, ভায়া- আশুলিয়া, চন্দ্রা, টাঙ্গাইল, যমুনা সেতু।</t>
  </si>
  <si>
    <t>ঢাকা (মহাখালী)-নওগাঁ, ভায়া- আশুলিয়া, চন্দ্রা, টাঙ্গাইল, যমুনা সেতু, হাটিকুমরুল, বগুড়া।</t>
  </si>
  <si>
    <t>ঢাকা (মহাখালী)- চাঁপাইনবাবগঞ্জ, ভায়া- আশুলিয়া, চন্দ্রা, টাঙ্গাইল, যমুনা সেতু, বড়াইগ্রাম, নাটোর, রাজশাহী।</t>
  </si>
  <si>
    <t>ঢাকা (মহাখালী)- পাবনা, ভায়া- আশুলিয়া, চন্দ্রা, টাঙ্গাইল, যমুনা সেতু, নলকা।</t>
  </si>
  <si>
    <t>ঢাকা (মহাখালী)- জয়পুরহাট ভায়া- আশুলিয়া, চন্দ্রা, টাঙ্গাইল, যমুনা সেতু, হাটিকুমরুল, বগুড়া।</t>
  </si>
  <si>
    <t>ঢাকা (মহাখালী)- রংপুর, ভায়া- আশুলিয়া, চন্দ্রা, টাঙ্গাইল, যমুনা সেতু, হাটিকুমরুল, বগুড়া।</t>
  </si>
  <si>
    <t>ঢাকা (মহাখালী)- ঠাকুরগাঁও, ভায়া- আশুলিয়া, চন্দ্রা, টাঙ্গাইল, যমুনা সেতু, হাটিকুমরুল, বগুড়া, ঘোড়াঘাট, দিনাজপুর।</t>
  </si>
  <si>
    <t>ঢাকা (মহাখালী)- দিনাজপুর, ভায়া- আশুলিয়া, চন্দ্রা, টাঙ্গাইল, যমুনা সেতু, হাটিকুমরুল, বগুড়া, ঘোড়াঘাট।</t>
  </si>
  <si>
    <t>ঢাকা (মহাখালী)- পঞ্চগড়, ভায়া- আশুলিয়া, চন্দ্রা, টাঙ্গাইল, যমুনা সেতু, হাটিকুমরুল, বগুড়া, ঘোড়াঘাট, দিনাজপুর, ঠাকুরগাঁও।</t>
  </si>
  <si>
    <t>ঢাকা (মহাখালী)- কুড়িগ্রাম, ভায়া- আশুলিয়া, চন্দ্রা, টাঙ্গাইল, যমুনা সেতু, হাটিকুমরুল, বগুড়া, রংপুর, মিঠাপুকুর, হারাগাছ।</t>
  </si>
  <si>
    <t>ঢাকা (মহাখালী)- চিলমারী ভায়া- আশুলিয়া, চন্দ্রা, টাঙ্গাইল, যমুনা সেতু, হাটিকুমরুল, বগুড়া, কুড়িগ্রাম।</t>
  </si>
  <si>
    <t>ঢাকা (মহাখালী)- ধর্মপাশা (কুড়িগ্রাম), ভায়া- ভালুকা, ময়মনসিংহ, নেত্রকোনা।</t>
  </si>
  <si>
    <t>ঢাকা (মহাখালী)- গাইবান্ধা, ভায়া- আশুলিয়া, চন্দ্রা, টাঙ্গাইল, যমুনা সেতু, হাটিকুমরুল, বগুড়া, পলাশবাড়ী।</t>
  </si>
  <si>
    <t>ঢাকা (মহাখালী)- হিলি, ভায়া- আশুলিয়া, চন্দ্রা, টাঙ্গাইল, যমুনা সেতু, হাটিকুমরুল, বগুড়া, জয়পুরহাট।</t>
  </si>
  <si>
    <t>ঢাকা (মহাখালী)- লালমনিরহাট, ভায়া- আশুলিয়া, চন্দ্রা, টাঙ্গাইল, যমুনা সেতু, হাটিকুমরুল, বগুড়া, হারাগাছ।</t>
  </si>
  <si>
    <t>ঢাকা (মহাখালী)- নীলফামারী ভায়া- আশুলিয়া, চন্দ্রা, টাঙ্গাইল, যমুনা সেতু, হাটিকুমরুল, বগুড়া, রংপুর, সৈয়দপুর।</t>
  </si>
  <si>
    <t>ঢাকা (মহাখালী)-দেবীগঞ্জ ভায়া- আশুলিয়া, চন্দ্রা, টাঙ্গাইল, যমুনা সেতু, হাটিকুমরুল, বগুড়া, রংপুর, সৈয়দপুর, নীলফামারী।</t>
  </si>
  <si>
    <t>ঢাকা (মহাখালী)- রৌমারী (কুড়িগ্রাম) ভায়া- ভালুকা, ময়মনসিংহ, শেরপুর, বকশিগঞ্জ।</t>
  </si>
  <si>
    <t>ঢাকা (মহাখালী)- পঞ্চগড় ভায়া- গাজীপুর চৌরাস্তা, চন্দ্রা, টাঙ্গাইল, যমুনা সেতু, হাটিকুমরুল, বগুড়া, রংপুর, দিনাজপুর, ঠাকুরগাও।</t>
  </si>
  <si>
    <t>ঢাকা (মহাখালী)- বিয়ানীবাজার (সিলেট), ভায়া-টঙ্গী, ভৈরব, ব্রাহ্মণবাড়িয়া, মৌলভী বাজার।</t>
  </si>
  <si>
    <t>ঢাকা (মহাখালী)- জাফলং ভায়া- টঙ্গী, নরসিংদী, ভৈরব, ব্রাহ্মণবাড়িয়া, শায়েস্তাগঞ্জ, শেরপুর, সিলেট।</t>
  </si>
  <si>
    <t>ঢাকা (মহাখালী)- চট্টগ্রাম, ভায়া- কুড়িল বিশ্বরোড, রামপুরা ব্রিজ, সায়দাবাদ, কুমিল্লা, ফেনী।</t>
  </si>
  <si>
    <t>ঢাকা (মহাখালী)-কিশোরগঞ্জ, ভায়া-ভালুকা, ময়মনসিংহ, ঈশ্বরগঞ্জ, নান্দাইল।</t>
  </si>
  <si>
    <t>ঢাকা (সায়দাবাদ)-চট্রগ্রাম, ভায়া- কুমিল্লা, ফেনী।</t>
  </si>
  <si>
    <t>ঢাকা (সায়দাবাদ)-কক্সবাজার, ভায়া- কুমিল্লা, ফেনী, চট্রগ্রাম।</t>
  </si>
  <si>
    <t>ঢাকা (সায়দাবাদ)-টেকনাফ, ভায়া- কুমিল্লা, ফেনী, চট্রগ্রাম, কক্সবাজার।</t>
  </si>
  <si>
    <t>ঢাকা (সায়দাবাদ)-রাঙ্গামাটি, ভায়া- কুমিল্লা, ফেনী, চট্রগ্রাম।</t>
  </si>
  <si>
    <t>ঢাকা (সায়দাবাদ)-বান্দরবান, ভায়া- কুমিল্লা, ফেনী, চট্রগ্রাম।</t>
  </si>
  <si>
    <t>ঢাকা (সায়দাবাদ)-খাগড়াছড়ি, ভায়া- কুমিল্লা, ফেনী, রামগড়।</t>
  </si>
  <si>
    <t>ঢাকা (সায়দাবাদ)-দিঘীনালা, ভায়া- কুমিল্লা, ফেনী, রামগড়, খাগড়াছড়ি।</t>
  </si>
  <si>
    <t>ঢাকা (সায়দাবাদ)-পানছড়ী, ভায়া- কুমিল্লা, ফেনী, রামগড়, খাগড়াছড়ি।</t>
  </si>
  <si>
    <t>ঢাকা (সায়দাবাদ)-কাপ্তাই, ভায়া- কুমিল্লা, ফেনী, চট্রগ্রাম।</t>
  </si>
  <si>
    <t>ঢাকা (সায়দাবাদ)-কুমিল্লা, ভায়া- দাউদকান্দি।</t>
  </si>
  <si>
    <t>ঢাকা (সায়দাবাদ)-লাকসাম, ভায়া- কুমিল্লা।</t>
  </si>
  <si>
    <t>ঢাকা (সায়দাবাদ)-হোমনা (কুমিল্লা), ভায়া- গৌরীপুর।</t>
  </si>
  <si>
    <t>ঢাকা (সায়দাবাদ)-নবীনগর (ব্রাহ্মণবাড়িয়া), ভায়া- দাউদকান্দি, চান্দিনা, দেবিদ্বার।</t>
  </si>
  <si>
    <t>ঢাকা (সায়দাবাদ)-ব্রাহ্মণবাড়িয়া, ভায়া- নরসিংদী, ভৈরব।</t>
  </si>
  <si>
    <t>ঢাকা (সায়দাবাদ)-কুটি কসবা, ভায়া- নরসিংদী, ভৈরব, ব্রাহ্মণবাড়িয়া।</t>
  </si>
  <si>
    <t>ঢাকা (সায়দাবাদ)-কুটি চৌমুহনী, ভায়া-নরসিংদী, ভৈরব, ব্রাহ্মণবাড়িয়া।</t>
  </si>
  <si>
    <t>ঢাকা (সায়দাবাদ)-বুড়িচং, ভায়া- কুমিল্লা ।</t>
  </si>
  <si>
    <t>ঢাকা (সায়দাবাদ)-হাজীগঞ্জ, ভায়া- কুমিল্লা ।</t>
  </si>
  <si>
    <t>ঢাকা (সায়দাবাদ)-ফরিদগঞ্জ, ভায়া- কুমিল্লা, চাঁদপুর।</t>
  </si>
  <si>
    <t>ঢাকা (সায়দাবাদ)-কচুয়া, ভায়া- গৌরীপুর।</t>
  </si>
  <si>
    <t>ঢাকা (সায়দাবাদ)-রায়পুর, ভায়া- কুমিল্লা, লাকসাম, চৌমুহনী, লক্ষ্মীপুর।</t>
  </si>
  <si>
    <t>ঢাকা (সায়দাবাদ)-চাটখিল, ভায়া- কুমিল্লা, লাকসাম।</t>
  </si>
  <si>
    <t>ঢাকা (সায়দাবাদ)-মাইজদী, ভায়া- কুমিল্লা, ফেনী।</t>
  </si>
  <si>
    <t>ঢাকা (সায়দাবাদ)-রামগতি, ভায়া- কুমিল্লা, লাকসাম, চৌমুহনী, লক্ষ্মীপুর।</t>
  </si>
  <si>
    <t>ঢাকা (সায়দাবাদ)-সোনাগাজী, ভায়া- কুমিল্লা, ফেনী।</t>
  </si>
  <si>
    <t>ঢাকা (সায়দাবাদ)-চাঁদপুর, ভায়া- কুমিল্লা, হাজীগঞ্জ।</t>
  </si>
  <si>
    <t>ঢাকা (সায়দাবাদ)-রামগঞ্জ, ভায়া- কুমিল্লা, লাকসাম, চাটখিল।</t>
  </si>
  <si>
    <t>ঢাকা (সায়দাবাদ)-রামগড়, ভায়া- কুমিল্লা, ফেনী।</t>
  </si>
  <si>
    <t>ঢাকা (সায়দাবাদ)-ফেনী, ভায়া- কুমিল্লা।</t>
  </si>
  <si>
    <t>ঢাকা (সায়দাবাদ)-লক্ষ্মীপুর, ভায়া- কুমিল্লা, লাকসাম, চৌমুহনী।</t>
  </si>
  <si>
    <t>ঢাকা (সায়দাবাদ)-কোম্পানীগঞ্জ, ভায়া- কুমিল্লা, ময়নামতি ক্যান্টনমেন্ট।</t>
  </si>
  <si>
    <t>ঢাকা (সায়দাবাদ)-সোনাপুর, ভায়া- কুমিল্লা, লাকসাম, চৌমুহনী, মাইজদী।</t>
  </si>
  <si>
    <t>ঢাকা (সায়দাবাদ)-কানকিরহাট, ভায়া- কুমিল্লা, ফেনী।</t>
  </si>
  <si>
    <t>ঢাকা (সায়দাবাদ)- মাইজদী (নোয়াখালী), ভায়া- কুমিল্লা, ফেনী।</t>
  </si>
  <si>
    <t>ঢাকা (সায়দাবাদ)-বসুরহাট, ভায়া- কুমিল্লা, ফেনী, মাইজদী।</t>
  </si>
  <si>
    <t>ঢাকা (সায়দাবাদ)-পরশুরাম, ভায়া- কুমিল্লা, ফেনী।</t>
  </si>
  <si>
    <t>ঢাকা (সায়দাবাদ)-বরুড়া, ভায়া- কুমিল্লা।</t>
  </si>
  <si>
    <t>ঢাকা (সায়দাবাদ)-নবাবপুর, ভায়া- দাউদকান্দি।</t>
  </si>
  <si>
    <t>ঢাকা (সায়দাবাদ)-বেগমগঞ্জ, ভায়া- ফেনী, লাকসাম।</t>
  </si>
  <si>
    <t>ঢাকা (সায়দাবাদ)-ছাগলনাইয়া, ভায়া- কুমিল্লা, ফেনী।</t>
  </si>
  <si>
    <t>ঢাকা (সায়দাবাদ)-নাঙ্গলকোর্ট, ভায়া- কুমিল্লা, লাকসাম।</t>
  </si>
  <si>
    <t>ঢাকা (সায়দাবাদ)-চিতোষী, ভায়া- কুমিল্লা।</t>
  </si>
  <si>
    <t>ঢাকা(সায়দাবাদ)-চৌদ্দগ্রাম, ভায়া- কুমিল্লা।</t>
  </si>
  <si>
    <t>ঢাকা (সায়দাবাদ)-মতলব (চাঁদপুর), ভায়া- দাউদকান্দি, গৌরীপুর।</t>
  </si>
  <si>
    <t>ঢাকা (সায়দাবাদ)-শাহরাস্তি (চাঁদপুর , ভায়া- কুমিল্লা ।</t>
  </si>
  <si>
    <t>ঢাকা (সায়দাবাদ)-কোম্পানীগঞ্জ, ভায়া- কুমিল্লা, ফেনী, দাগনভূঁইয়া।</t>
  </si>
  <si>
    <t>ঢাকা (সায়দাবাদ)-ব্রাম্মনপাড়া, ভায়া- কুমিল্লা, বুড়িচং।</t>
  </si>
  <si>
    <t>ঢাকা (সায়দাবাদ)-রামগঞ্জ, ভায়া- কুমিল্লা, হাজীগঞ্জ।</t>
  </si>
  <si>
    <t>ঢাকা (সায়দাবাদ)-হোসেনপুর (চাঁদপুর), ভায়া- নবাবপুর, মাধাইয়া বাজার, রহিমানগর।</t>
  </si>
  <si>
    <t>ঢাকা (সায়দাবাদ)-মুরাদনগর, ভায়া- ইলিয়টগঞ্জ।</t>
  </si>
  <si>
    <t>ঢাকা (সায়দাবাদ)-হোসেনপুর (চাঁদপুর), ভায়া- গৌরীপুর, রহিমানগর।</t>
  </si>
  <si>
    <t>ঢাকা (সায়দাবাদ)-কানকিরহাট (নোয়াখালী), ভায়া- কুমিল্লা, লাকসাম।</t>
  </si>
  <si>
    <t>ঢাকা (সায়দাবাদ)-চাঁদপুর, ভায়া- গৌরীপুর, মতলব।</t>
  </si>
  <si>
    <t>ঢাকা (সায়দাবাদ)-সিলেট, ভায়া- নরসিংদী, ভৈরব, মৌলভিবাজার।</t>
  </si>
  <si>
    <t>ঢাকা (সায়দাবাদ)-জকিগঞ্জ, ভায়া- নরসিংদী, ভৈরব, মৌলভীবাজার, সিলেট।</t>
  </si>
  <si>
    <t>ঢাকা (সায়দাবাদ)-মৌলভীবাজার, ভায়া- নরসিংদী, ভৈরব, মাধবপুর।</t>
  </si>
  <si>
    <t>ঢাকা (সায়দাবাদ)-হবিগঞ্জ, ভায়া- নরসিংদী, ভৈরব, মাধবপুর।</t>
  </si>
  <si>
    <t>ঢাকা (সায়দাবাদ)-বড়লেখা, ভায়া- নরসিংদী, ভৈরব, মাধবপুর, মৌলভিবাজার, কুলাউড়া।</t>
  </si>
  <si>
    <t>ঢাকা (সায়দাবাদ)- কুলাউড়া, ভায়া- নরসিংদী, ভৈরব, মাধবপুর, মৌলভিবাজার, রাজনগর।</t>
  </si>
  <si>
    <t>ঢাকা (সায়দাবাদ)-জগন্নাথপুর, ভায়া- নরসিংদী, ভৈরব, মাধবপুর, মৌলভিবাজার, সিলেট।</t>
  </si>
  <si>
    <t>ঢাকা (সায়দাবাদ)-বিয়ানী বাজার, ভায়া- নরসিংদী, ভৈরব, মাধবপুর, মৌলভিবাজার, রাজনগর।</t>
  </si>
  <si>
    <t>ঢাকা (সায়দাবাদ)-ছাতক, ভায়া- নরসিংদী, ভৈরব, মৌলভিবাজার, সিলেট।</t>
  </si>
  <si>
    <t>ঢাকা (সায়দাবাদ)-সুনামগঞ্জ, ভায়া- নরসিংদী, ভৈরব, মৌলভিবাজার, সিলেট।</t>
  </si>
  <si>
    <t>ঢাকা (সায়দাবাদ)-জাফলং, ভায়া- নরসিংদী, ভৈরব, ব্রাহ্মণবাড়িয়া, মৌলভিবাজার, সিলেট।</t>
  </si>
  <si>
    <t>ঢাকা (সায়দাবাদ)-ফেঞ্চুগঞ্জ, ভায়া- নরসিংদী, ভৈরব, মাধবপুর, শ্রীমঙ্গল, মৌলভিবাজার।</t>
  </si>
  <si>
    <t>ঢাকা (সায়দাবাদ)-বরিশাল, ভায়া- পদ্মা বহুমুখী সেতু, ভাঙ্গা, মাদারীপুর।</t>
  </si>
  <si>
    <t>ঢাকা (সায়দাবাদ)-পটুয়াখালী, ভায়া-পদ্মা বহুমুখী সেতু, ভাঙ্গা, মাদারীপুর, বরিশাল।</t>
  </si>
  <si>
    <t xml:space="preserve">ঢাকা (সায়দাবাদ)-চরফ্যাশন, ভায়া- পদ্মা বহুমুখী সেতু, ভাঙ্গা, মাদারীপুর, বরিশাল, ভোলা। </t>
  </si>
  <si>
    <t>ঢাকা (সায়দাবাদ)-চরফ্যাশন, ভায়া- কুমিল্লা, লাকসাম, চাটখীল, লক্ষ্মীপুর, ভোলা।</t>
  </si>
  <si>
    <t>ঢাকা (সায়দাবাদ)-পিরোজপুর, ভায়া- পদ্মা বহুমুখী সেতু, ভাঙ্গা, মাদারীপুর, বরিশাল, ঝালকাঠি, বেকুটিয়া সেতু।</t>
  </si>
  <si>
    <t>ঢাকা (সায়দাবাদ)-পিরোজপুর, ভায়া- পদ্মা বহুমুখী সেতু, ভাঙ্গা, গোপালগঞ্জ, বাগেরহাট।</t>
  </si>
  <si>
    <t>ঢাকা (সায়েদাবাদ)-পাথরঘাটা ভায়া-পদ্মা বহুমুখী সেতু, ভাঙ্গা, বরিশাল, ঝালকাঠি, ভান্ডারিয়া, মঠবাড়িয়া।</t>
  </si>
  <si>
    <t>ঢাকা (সায়দাবাদ)-কুয়াকাটা ভায়া- পদ্মা বহুমুখী সেতু, ভাঙ্গা, মাদারীপুর, বরিশাল, পটুয়াখালী।</t>
  </si>
  <si>
    <t>ঢাকা (সায়দাবাদ)-খুলনা, ভায়া- পদ্মা বহুমুখী সেতু, ভাঙ্গা, গোপালগঞ্জ।</t>
  </si>
  <si>
    <t>ঢাকা (সায়দাবাদ)-সাতক্ষীরা, ভায়া- পদ্মা বহুমুখী সেতু, ভাঙ্গা, গোপালগঞ্জ, খুলনা।</t>
  </si>
  <si>
    <t>ঢাকা (গাবতলী)- ঝালকাঠি, ভায়া- পাটুরিয়া, ফরিদপুর, মাদারীপুর, বরিশাল।</t>
  </si>
  <si>
    <t>ঢাকা (গাবতলী)- পিরোজপুর, ভায়া- পাটুরিয়া, ফরিদপুর, মাদারীপুর, বরিশাল, ঝালকাঠি।</t>
  </si>
  <si>
    <t>ঢাকা (গাবতলী)- বরগুনা, ভায়া- পাটুরিয়া, ফরিদপুর, মাদারীপুর, বরিশাল, পটুয়াখালী।</t>
  </si>
  <si>
    <t>ঢাকা (গাবতলী)- যশোর, ভায়া- পাটুরিয়া, ফরিদপুর, ঝিনাইদহ।</t>
  </si>
  <si>
    <t>ঢাকা (গাবতলী)- যশোর, ভায়া- পাটুরিয়া, ফরিদপুর, মাগুরা, আড়পাড়া।</t>
  </si>
  <si>
    <t>ঢাকা (গাবতলী)- বেনাপোল, ভায়া- পাটুরিয়া, ফরিদপুর, মাগুরা, আড়পাড়া, যশোর।</t>
  </si>
  <si>
    <t>ঢাকা (গাবতলী)- খুলনা, ভায়া- পাটুরিয়া, ফরিদপুর, মাগুরা, আড়পাড়া, যশোর।</t>
  </si>
  <si>
    <t>ঢাকা (গাবতলী)- খুলনা, ভায়া- পাটুরিয়া, ফরিদপুর, মাগুরা, ঝিনাইদহ, যশোর।</t>
  </si>
  <si>
    <t>ঢাকা (গাবতলী)- খুলনা, ভায়া- নবীনগর, চন্দ্রা, টাঙ্গাইল, যমুনা সেতু, বড়াইগ্রাম, লালনশাহ্ সেতু, কুষ্টিয়া, ঝিনাইদহ, যশোর।</t>
  </si>
  <si>
    <t>ঢাকা (গাবতলী)- বাগেরহাট, ভায়া- পাটুরিয়া, ফরিদপুর, মাগুরা, আড়পাড়া, যশোর, খুলনা।</t>
  </si>
  <si>
    <t>ঢাকা (গাবতলী)- মোংলা (বাগেরহাট), ভায়া- পাটুরিয়া, ফরিদপুর, মাগুরা, আড়পাড়া, যশোর, খুলনা।</t>
  </si>
  <si>
    <t>ঢাকা (গাবতলী)- কালিগঞ্জ (সাতক্ষীরা), ভায়া- পাটুরিয়া, ফরিদপুর, মাগুরা, আড়পাড়া, যশোর, খুলনা, সাতক্ষীরা।</t>
  </si>
  <si>
    <t>ঢাকা (গাবতলী)- সাতক্ষীরা, ভায়া- পাটুরিয়া, ফরিদপুর, মাগুরা, আড়পাড়া, যশোর, খুলনা।</t>
  </si>
  <si>
    <t>ঢাকা (গাবতলী)- কুষ্টিয়া, ভায়া- পাটুরিয়া, ফরিদপুর, মাগুরা, ঝিনাইদহ।</t>
  </si>
  <si>
    <t>ঢাকা (গাবতলী)- কুষ্টিয়া, ভায়া- পাটুরিয়া, গোয়ালন্দ, রাজবাড়ী।</t>
  </si>
  <si>
    <t>ঢাকা (গাবতলী)- প্রাগপুর (কুষ্টিয়া), ভায়া- পাটুরিয়া, গোয়ালন্দ, রাজবাড়ী।</t>
  </si>
  <si>
    <t>ঢাকা (গাবতলী)- মেহেরপুর, ভায়া- পাটুরিয়া, ফরিদপুর, মাগুরা, ঝিনাইদহ, চুয়াডাঙ্গা।</t>
  </si>
  <si>
    <t>ঢাকা (গাবতলী)- মেহেরপুর, ভায়া- আরিচা ঘাট, কাজীরহাট, পাবনা, লালনশাহ্ সেতু, ভেড়ামারা, মিরপুর।</t>
  </si>
  <si>
    <t>ঢাকা (গাবতলী)- মুজিবনগর, ভায়া- পাটুরিয়া, ফরিদপুর, মাগুরা, ঝিনাইদহ, চুয়াডাঙ্গা, মেহেরপুর।</t>
  </si>
  <si>
    <t>ঢাকা (গাবতলী)- চুয়াডাঙ্গা, ভায়া- পাটুরিয়া, ফরিদপুর, মাগুরা, ঝিনাইদহ।</t>
  </si>
  <si>
    <t>ঢাকা (গাবতলী)- নড়াইল, ভায়া- পাটুরিয়া, ফরিদপুর, মাগুরা, আড়পাড়া, যশোর।</t>
  </si>
  <si>
    <t>ঢাকা (গাবতলী)- লক্ষীপাশা, ভায়া- পাটুরিয়া, ফরিদপুর, মাগুরা, আড়পাড়া, যশোর, নড়াইল।</t>
  </si>
  <si>
    <t>ঢাকা (গাবতলী)- লাহুরিয়া (নড়াইল) ভায়া- পাটুরিয়া, ফরিদপুর, মাইজকান্দি বাজার, মোহাম্মদপুর সেতু, মাগুরা।</t>
  </si>
  <si>
    <t>ঢাকা (গাবতলী)- কালিগঞ্জ, ভায়া- পাটুরিয়া, ফরিদপুর, মাগুড়া, ঝিনাইদহ</t>
  </si>
  <si>
    <t>ঢাকা (গাবতলী)- ঝিনাইদহ, ভায়া- পাটুরিয়া, ফরিদপুর, মাগুরা।</t>
  </si>
  <si>
    <t>ঢাকা (গাবতলী)- মাগুরা, ভায়া- পাটুরিয়া, ফরিদপুর।</t>
  </si>
  <si>
    <t>ঢাকা (গাবতলী)-দর্শনা, ভায়া- পাটুরিয়া, ফরিদপুর, মাগুড়া, ঝিনাইদহ।</t>
  </si>
  <si>
    <t>ঢাকা (গাবতলী)- পাবনা, ভায়া- নবীনগর, চন্দ্রা, টাঙ্গাইল, যমুনা সেতু, নলকা।</t>
  </si>
  <si>
    <t>ঢাকা (গাবতলী)-পাবনা, ভায়া- নবীনগর, চন্দ্রা, টাঙ্গাইল, যমুনা সেতু, বড়াইগ্রাম, দাশুরিয়া।</t>
  </si>
  <si>
    <t>ঢাকা (গাবতলী)- রাজশাহী, ভায়া- নবীনগর, চন্দ্রা, টাঙ্গাইল, যমুনা সেতু, নলকা, বড়াইগ্রাম, নাটোর।</t>
  </si>
  <si>
    <t>ঢাকা (গাবতলী)- রাজশাহী, ভায়া- নবীনগর, চন্দ্রা, টাঙ্গাইল, যমুনা সেতু, নলকা, শাহাজাদপুর, পাবনা, নাটোর।</t>
  </si>
  <si>
    <t>ঢাকা (গাবতলী)- চাঁপাইনবাবগঞ্জ, ভায়া- নবীনগর, চন্দ্রা, টাঙ্গাইল, যমুনা সেতু, নলকা, বড়াইগ্রাম, নাটোর, রাজশাহী।</t>
  </si>
  <si>
    <t>ঢাকা (গাবতলী)- বগুড়া ভায়া- নবীনগর, চন্দ্রা, টাঙ্গাইল, যমুনা সেতু, হাটিকুমরুল।</t>
  </si>
  <si>
    <t>ঢাকা (গাবতলী)- নওগাঁ ভায়া- নবীনগর,চন্দ্রা, টাঙ্গাইল, যমুনা সেতু, হাটিকুমরুল, বগুড়া।</t>
  </si>
  <si>
    <t>ঢাকা (গাবতলী)- জয়পুরহাট ভায়া- নবীনগর, চন্দ্রা, টাঙ্গাইল, যমুনা সেতু, হাটিকুমরুল, বগুড়া।</t>
  </si>
  <si>
    <t>ঢাকা (গাবতলী)- নাটোর, ভায়া- নবীনগর, চন্দ্রা, টাঙ্গাইল, যমুনা সেতু, নলকা, বড়াইগ্রাম।</t>
  </si>
  <si>
    <t>ঢাকা (গাবতলী)- শিবগঞ্জ, ভায়া- নবীনগর, চন্দ্রা, টাঙ্গাইল, যমুনা সেতু, বড়াইগ্রাম, নাটোর, রাজশাহী, চাঁপাইনবাবগঞ্জ।</t>
  </si>
  <si>
    <t>ঢাকা (গাবতলী)- চাঁপাইনবাবগঞ্জ, ভায়া- নবীনগর, চন্দ্রা, টাঙ্গাইল, যমুনা সেতু, নলকা, শাহাজাদপুর, পাবনা, নাটোর, রাজশাহী।</t>
  </si>
  <si>
    <t>ঢাকা (গাবতলী)- ইশ্বরদী, ভায়া- নবীনগর, চন্দ্রা, টাঙ্গাইল, যমুনা সেতু, নলকা, পাবনা।</t>
  </si>
  <si>
    <t>ঢাকা (গাবতলী)-সিরাজগঞ্জ, ভায়া-নবীনগর, চন্দ্রা, টাঙ্গাইল, যমুনা সেতু।</t>
  </si>
  <si>
    <t>ঢাকা (গাবতলী)- গাইবান্ধা, ভায়া- নবীনগর, চন্দ্রা, টাঙ্গাইল, যমুনা সেতু, হাটিকুমরুল, বগুড়া, পলাশবাড়ী।</t>
  </si>
  <si>
    <t>ঢাকা (গাবতলী)- রংপুর, ভায়া- নবীনগর, চন্দ্রা, টাঙ্গাইল, যমুনা সেতু, হাটিকুমরুল, বগুড়া।</t>
  </si>
  <si>
    <t>ঢাকা (গাবতলী)- লালমনিরহাট, ভায়া- নবীনগর, চন্দ্রা, টাঙ্গাইল, যমুনা সেতু, হাটিকুমরুল, বগুড়া, হাড়াগাছ।</t>
  </si>
  <si>
    <t>ঢাকা (গাবতলী)- পাটগ্রাম, ভায়া- নবীনগর, চন্দ্রা, টাঙ্গাইল, যমুনা সেতু, হাটিকুমরুল, বগুড়া, মিঠাপুকুর, লালমনিরহাট।</t>
  </si>
  <si>
    <t>ঢাকা (গাবতলী)- বুড়িমারী, ভায়া- নবীনগর, চন্দ্রা, টাংঙ্গাইল, যমুনা সেতু, হাটিকুমরুল, বগুড়া, মিঠাপুকুর, লালমনিরহাট।</t>
  </si>
  <si>
    <t>ঢাকা (গাবতলী)- কুড়িগ্রাম, ভায়া- নবীনগর, চন্দ্রা, টাঙ্গাইল, যমুনা সেতু, হাটিকুমরুল, বগুড়া, মিঠাপুকুর, হাড়াগাছ।</t>
  </si>
  <si>
    <t>ঢাকা (গাবতলী)- চিলমারী, ভায়া- নবীনগর, চন্দ্রা, টাঙ্গাইল, যমুনা সেতু, হাটিকুমরুল, বগুড়া, কুড়িগ্রাম।</t>
  </si>
  <si>
    <t>ঢাকা (গাবতলী)- উলিপুর, ভায়া- নবীনগর, চন্দ্রা, টাঙ্গাইল, যমুনা সেতু, হাটিকুমরুল, বগুড়া, রংপুর, কুড়িগ্রাম।</t>
  </si>
  <si>
    <t>ঢাকা(গাবতলী)- ভূরুঙ্গামারী, ভায়া-নবীনগর, চন্দ্রা, টাঙ্গাইল,যমুনা সেতু, হাটিকুমরুল, বগুড়া, রংপুর, কুড়িগ্রাম</t>
  </si>
  <si>
    <t>ঢাকা (গাবতলী)- দিনাজপুর, ভায়া- নবীনগর, চন্দ্রা, টাঙ্গাইল, যমুনা সেতু, হাটিকুমরুল, বগুড়া, ঘোড়াঘাট।</t>
  </si>
  <si>
    <t>ঢাকা (গাবতলী)- হিলি, ভায়া- নবীনগর, চন্দ্রা, টাঙ্গাইল, যমুনা সেতু, হাটিকুমরুল, বগুড়া, জয়পুরহাট।</t>
  </si>
  <si>
    <t>ঢাকা(গাবতলী)- ঠাকুরগাঁও, ভায়া- নবীনগর, চন্দ্রা, টাঙ্গাইল, যমুনা সেতু, হাটিকুমরুল, বগুড়া, ঘোড়াঘাট, দিনাজপুর।</t>
  </si>
  <si>
    <t>ঢাকা(গাবতলী)- পঞ্চগড়, ভায়া-নবীনগর, চন্দ্রা, টাঙ্গাইল, যমুনা সেতু, হাটিকুমরুল, বগুড়া, ঘোড়াঘাট, দিনাজপুর, ঠাকুরগাঁও।</t>
  </si>
  <si>
    <t>ঢাকা (গাবতলী)- দেবীগঞ্জ, ভায়া- নবীনগর, চন্দ্রা, টাঙ্গাইল, যমুনা সেতু, হাটিকুমরুল, বগুড়া, রংপুর, সৈয়দপুর, নিলফামারী।</t>
  </si>
  <si>
    <t>ঢাকা (গাবতলী)- নীলফামারী, ভায়া- নবীনগর, চন্দ্রা, টাঙ্গাইল, যমুনা সেতু, হাটিকুমরুল, বগুড়া, রংপুর, সৈয়দপুর।</t>
  </si>
  <si>
    <t>ঢাকা (গাবতলী)- সৈয়দপুর, ভায়া- নবীনগর, চন্দ্রা, টাঙ্গাইল, যমুনা সেতু, হাটিকুমরুল, বগুড়া, রংপুর।</t>
  </si>
  <si>
    <t>বরিশাল- খুলনা, ভায়া- মাদারীপুর, ফরিদপুর, ঝিনাইদহ, যশোর।</t>
  </si>
  <si>
    <t>পিরোজপুর-বেনাপোল, ভায়া- বাগেরহাট , খুলনা, যশোর।</t>
  </si>
  <si>
    <t>বরিশাল-যশোর, ভায়া- ঝালকাঠি, পিরোজপুর, বাগেরহাট, খুলনা।</t>
  </si>
  <si>
    <t>বরিশাল-বেনাপোল, ভায়া- ঝালকাঠি, পিরোজপুর, বাগেরহাট, খুলনা, যশোর।</t>
  </si>
  <si>
    <t>বরিশাল-কুষ্টিয়া, ভায়া- ফরিদপুর, মাগুড়া, ঝিনাইদহ।</t>
  </si>
  <si>
    <t>খুলনা-রাজশাহী, ভায়া- যশোর, ঝিনাইদহ, কুষ্টিয়া, লালন শাহ সেতু, নাটোর।</t>
  </si>
  <si>
    <t>খুলনা-বগুড়া, ভায়া- যশোর, ঝিনাইদহ, কুষ্টিয়া, লালন শাহ সেতু, নাটোর।</t>
  </si>
  <si>
    <t>খুলনা-রংপুর, ভায়া- যশোর, ঝিনাইদহ, কুষ্টিয়া, লালন শাহ সেতু, নাটোর, বগুড়া।</t>
  </si>
  <si>
    <t>পটুয়াখালী-খুলনা, ভায়া- বরিশাল, মাদারীপুর, ফরিদপুর, মাগুড়া, যশোর।</t>
  </si>
  <si>
    <t>বরিশাল-মেহেরপুর, ভায়া- মাদারীপুর, ফরিদপুর, রাজবাড়ী, কুষ্টিয়া।</t>
  </si>
  <si>
    <t>ফরিদপুর-বেনাপোল, ভায়া- মাগুড়া, আড়পাড়া, যশোর।</t>
  </si>
  <si>
    <t>কুমিল্লা-সিলেট, ভায়া- ব্রাহ্মণবাড়িয়া মৌলভীবাজার।</t>
  </si>
  <si>
    <t>চট্রগ্রাম-বেনাপোল, ভায়া- ফেনী, কুমিল্লা, ঢাকার রামপুরা ব্রীজ, আশুলিয়া, পাটুরিয়া, ফরিদপুর, মাগুড়া, আড়পাড়া, যশোর।</t>
  </si>
  <si>
    <t>খুলনা-পাবনা, ভায়া- যশোর, ঝিনাইদহ, কুষ্টিয়া, লালন শাহ সেতু।</t>
  </si>
  <si>
    <t>পিরোজপুর-রাজশাহী, ভায়া- বরিশাল, ফরিদপুর, রাজবাড়ী, কুষ্টিয়া, লালন শাহ সেতু, নাটোর।</t>
  </si>
  <si>
    <t>রাজশাহী-যশোর, ভায়া- নাটোর, লালন শাহ সেতু, কুষ্টিয়া, ঝিনাইদহ।</t>
  </si>
  <si>
    <t>সিরাজগঞ্জ-মেহেরপুর, ভায়া- শাহজাদপুর, পাবনা, লালন শাহ সেতু, কুষ্টিয়া।</t>
  </si>
  <si>
    <t>কুষ্টিয়া-বগুড়া, ভায়া- লালন শাহ সেতু, নাটোর।</t>
  </si>
  <si>
    <t>কুমিল্লা-ময়মনসিংহ, ভায়া- ব্রাহ্মণবাড়িয়া ভৈরব, কিশোরগঞ্জ।</t>
  </si>
  <si>
    <t>কক্সবাজার-বেনাপোল, ভায়া- চট্টগ্রাম, ফেনী, কুমিল্লা, ঢাকার রামপুরা ব্রীজ, আশুলিয়া, পাটুরিয়া, ফরিদপুর, মাগুড়া, আড়পাড়া, যশোর।</t>
  </si>
  <si>
    <t>ময়মনসিংহ-রাজশাহী, ভায়া- কালিহাতি, যমুনা সেতু, নলকা, বড়াইগ্রাম, নাটোর।</t>
  </si>
  <si>
    <t>বগুড়া-সিলেট, ভায়া- যমুনা সেতু, টাঙ্গাইল, চন্দ্রা,, ঢাকার রামপুরা ব্রীজ, বিশ্ব রোড, নরসিংদী, ভৈরব, মৌলভীবাজার।</t>
  </si>
  <si>
    <t>ময়মনসিংহ-খুলনা, ভায়া- কালিহাতি, যমুনা সেতু, নলকা, শাহজাদপুর, পাবনা, কুষ্টিয়া, ঝিনাইদহ, যশোর।</t>
  </si>
  <si>
    <t>চট্রগ্রাম-রংপুর, ভায়া- ফেনী, কুমিল্লা, ঢাকার রামপুরা ব্রীজ, আশুলিয়া, চন্দ্রা, টাঙ্গাইল, যমুনা সেতু, হাটিকুমরুল, বগুড়া।</t>
  </si>
  <si>
    <t>ময়মনসিংহ-সিলেট, ভায়া- কিশোরগজ্ঞ, ভৈরব, ব্রাহ্মণবাড়িয়া মৌলভীবাজার।</t>
  </si>
  <si>
    <t>কুমিল্লা -জামালপুর, ভায়া- ব্রাহ্মণবাড়িয়া, ভৈরব, ময়মনসিংহ।</t>
  </si>
  <si>
    <t>কুমিল্লা -সুনামগঞ্জ, ভায়া- ব্রাহ্মণবাড়িয়া, মৌলভীবাজার, সিলেট।</t>
  </si>
  <si>
    <t>কুমিল্লা -বিয়ানীবাজার, ভায়া- ব্রাহ্মণবাড়িয়া, মৌলভীবাজার।</t>
  </si>
  <si>
    <t>টাঙ্গাইল-মাইজদী, ভায়া- চন্দ্রা, আশুলিয়া, বিশ্ব রোড, ঢাকার রামপুরা ব্রীজ, কুমিল্লা, ফেনী।</t>
  </si>
  <si>
    <t>টাঙ্গাইল-কুষ্টিয়া, ভায়া- যমুনা সেতু, নলকা, শাহাজাদপুর, পাবনা।</t>
  </si>
  <si>
    <t>দিনাজপুর-খুলনা, ভায়া- ঘোড়াঘাট, বগুড়া, নাটোর, লালন শাহ সেতু, কুষ্টিয়া, ঝিনাইদহ, যশোর।</t>
  </si>
  <si>
    <t>ঠাকুরগাঁও-ফরিদপুর, ভায়া- দিনাজপুর, ঘোড়াঘাট, বগুড়া, নাটোর, লালন শাহ সেতু, কুষ্টিয়া, রাজবাড়ী।</t>
  </si>
  <si>
    <t>রাজশাহী-বরিশাল, ভায়া- নাটোর, লালন শাহ সেতু, কুষ্টিয়া, রাজবাড়ী, ফরিদপুর।</t>
  </si>
  <si>
    <t>কুড়িগ্রাম-খুলনা, ভায়া- হারাগাছ, মিঠাপুকুর, বগুড়া, নাটোর, লালন শাহ সেতু, কুষ্টিয়া, ঝিনাইদহ, যশোর।</t>
  </si>
  <si>
    <t>মেহেরপুর-পটুয়াখালী, ভায়া- চুয়াডাঙ্গা, ঝিনাইদহ, মাগুড়া, ফরিদপুর, মাদারীপুর, বরিশাল।</t>
  </si>
  <si>
    <t>বগুড়া-বরিশাল, ভায়া- নাটোর, লালন শাহ সেতু, কুষ্টিয়া, রাজবাড়ী, ফরিদপুর, মাদারীপুর।</t>
  </si>
  <si>
    <t>চাঁদপুর-সুনামগঞ্জ, ভায়া- কুমিল্লা, ব্রাহ্মণবাড়িয়া, মৌলভিবাজার, সিলেট।</t>
  </si>
  <si>
    <t>যশোর-রংপুর, ভায়া- ঝিনাইদহ, কুষ্টিয়া, লালন শাহ সেতু, নাটোর, বগুড়া।</t>
  </si>
  <si>
    <t>খুলনা-ফরিদপুর, ভায়া- যশোর, ঝিনাইদহ, মাগুড়া।</t>
  </si>
  <si>
    <t>কক্সবাজার-বরিশাল, ভায়া- চট্টগ্রাম, ফেনী, কুমিল্লা, ঢাকার পোস্তগোলা ব্রীজ, পদ্মা বহুমুখী সেতু, ভাঙ্গা, মাদারীপুর।</t>
  </si>
  <si>
    <t>ব্রাহ্মণবাড়িয়া-ময়মনসিংহ, ভায়া- কিশোরগঞ্জ, ভৈরব।</t>
  </si>
  <si>
    <t>বাগেরহাট-আমতলী, ভায়া- পিরোজপুর, ঝালকাঠি, বরিশাল, পটুয়াখালী।</t>
  </si>
  <si>
    <t>খুলনা-সিরাজগঞ্জ, ভায়া- যশোর, ঝিনাইদহ, কুষ্টিয়া, লালন শাহ সেতু, বড়াইগ্রাম।</t>
  </si>
  <si>
    <t>ইশ্বরদী-ময়মনসিংহ, ভায়া- পাবনা, শাহাজাদপুর, নলকা, কালিহাতি।</t>
  </si>
  <si>
    <t>কুষ্টিয়া-পঞ্চগড়, ভায়া- লালন শাহ সেতু, নাটোর, বগুড়া, রংপুর, ঠাকুরগাঁও।</t>
  </si>
  <si>
    <t>রংপুর-সিলেট, ভায়া- বগুড়া, হাটিকুমরুল, যমুনা সেতু, টাঙ্গাইল, চন্দ্রা, আশুলীয়া, ঢাকার রামপুরা ব্রীজ, নরসিংদী, ভৈরব, মৌলভিবাজার।</t>
  </si>
  <si>
    <t>টেকনাফ-বেনাপোল, ভায়া- যশোর, আড়পাড়া, মাগুড়া, ফরিদপুর, পাটুরিয়া, আশুলিয়া, ঢাকার রামপুরা ব্রীজ, কুমিল্লা, ফেনী,চট্টগ্রাম, কক্সবাজার।</t>
  </si>
  <si>
    <t>দিনাজপুর- টেকনাফ, ভায়া- রংপুর, বগুড়া, হাটিকুমরুল, যমুনা সেতু, টাঙ্গাইল, চন্দ্রা, আশুলিয়া, ঢাকার রামপুরা ব্রীজ, কুমিল্লা, ফেনী, চট্রগ্রাম।</t>
  </si>
  <si>
    <t>ব্রাহ্মণবাড়িয়া-সিলেট, ভায়া- শ্রীমঙ্গল, মৌলভিবাজার।</t>
  </si>
  <si>
    <t>চট্রগ্রাম-খুলনা, ভায়া- ফেনী, কুমিল্লা, ঢাকার রামপুরা ব্রীজ, আশুলিয়া, চন্দ্রা, পাটুরিয়া, ফরিদপুর, মাগুড়া, আড়পাড়া, যশোর।</t>
  </si>
  <si>
    <t>চট্রগ্রাম-চরফ্যাশন, ভায়া- ফেনী, লক্ষ্মীপুর, ভোলা।</t>
  </si>
  <si>
    <t>ফরিদপুর-দিনাজপুর, ভায়া- রাজবাড়ী, কুষ্টিয়া, লালন শাহ সেতু, নাটোর, বগুড়া, ঘোড়াঘাট।</t>
  </si>
  <si>
    <t>কুষ্টিয়া-চাঁপাইনবাবগঞ্জ, ভায়া- লালন শাহ সেতু, নাটোর, রাজশাহী।</t>
  </si>
  <si>
    <t>টাঙ্গাইল-লক্ষ্মীপুর, ভায়া- আশুলিয়া, চন্দ্রা, ঢাকার রামপুরা ব্রীজ, কুমিল্লা, ফেনী।</t>
  </si>
  <si>
    <t>গোপালগঞ্জ-বেনাপোল, ভায়া- ফরিদপুর, মাগুরা, আড়পাড়া, যশোর।</t>
  </si>
  <si>
    <t>দিনাজপুর-সিলেট, ভায়া- রংপুর, বগুড়া, হাটিকুমরুল, যমুনা সেতু, টাঙ্গাইল, চন্দ্রা, আশুলিয়া, ঢাকার রামপুরা ব্রীজ, নরসিংদী, ভৈরব, মাধবপুর, মৌলভিবাজার।</t>
  </si>
  <si>
    <t>দিনাজপুর-চট্রগ্রাম, ভায়া- সৈয়দপুর, রংপুর, বগুড়া, যমুনা সেতু, টাঙ্গাইল, চন্দ্রা, আশুলিয়া, ঢাকার রামপুরা ব্রীজ,কুমিল্লা, ফেনী।</t>
  </si>
  <si>
    <t>কুমিল্লা -কুড়িগ্রাম, ভায়া- ঢাকার রামপুরা ব্রীজ, আশুলিয়া, চন্দ্রা, টাঙ্গাইল, যমুনা সেতু, হাটিকুমরুল, বগুড়া, রংপুর।</t>
  </si>
  <si>
    <t>জামালপুর-চট্রগ্রাম, ভায়া- টাঙ্গাইল, চন্দ্রা, আশুলিয়া, ঢাকার রামপুরা ব্রীজ, বিশ্বরোড, কুমিল্লা, ফেনী।</t>
  </si>
  <si>
    <t>কিশোরগঞ্জ-সিলেট, ভায়া- ভৈরব, মাধবপুর, মৌলভিবাজার।</t>
  </si>
  <si>
    <t>চট্রগাম-রাজশাহী, ভায়া- ফেনী, কুমিল্লা, ঢাকার রামপুরা ব্রীজ, আশুলিয়া, চন্দ্রা, টাঙ্গাইল, যমুনা সেতু, বড়াইগ্রাম, নাটোর।</t>
  </si>
  <si>
    <t>মেহেরপুর-পিরোজপুর, ভায়া- চুয়াডাঙ্গা, ঝিনাইদহ, যশোর, খুলনা, বাগেরহাট।</t>
  </si>
  <si>
    <t>ময়মনসিংহ-দিনাজপুর, ভায়া- মুক্তাগাছা, কালিহাতি, যমুনা সেতু, হাটিকুমরুল, বগুড়া, ঘোড়াঘাট</t>
  </si>
  <si>
    <t>দিনাজপুর-কুষ্টিয়া ভায়া-গোবিন্দগঞ্জ, বগুড়া, নাটোর, বড়াইগ্রাম, লালন শাহ সেতু, ভেড়ামারা</t>
  </si>
  <si>
    <t>গোপালগঞ্জ-বেনাপোল, ভায়া- মোল্লাহাট, খুলনা, যশোর</t>
  </si>
  <si>
    <t>ময়মনসিংহ-চট্রগ্রাম, ভায়া- ভৈরব, ব্রাহ্মণবাড়িয়া, কুমিল্লা, ফেনী</t>
  </si>
  <si>
    <t>পাবনা-যশোর ভায়া-লালন শাহ সেতু, কুষ্টিয়া, ঝিনাইদহ</t>
  </si>
  <si>
    <t>পাবনা-মোংলা, ভায়া- লালন শাহ সেতু, কুষ্টিয়া, ঝিনাইদহ, যশোর, খুলনা</t>
  </si>
  <si>
    <t>ময়মনসিংহ-রংপুর, ভায়া- কালিহাতি, যমুনা সেতু, হাটিকুমরুল, বগুড়া</t>
  </si>
  <si>
    <t>মেহেরপুর-ফরিদপুর, ভায়া- ঝিনাইদহ, মাগুড়া, মধুখালী</t>
  </si>
  <si>
    <t>মেহেরপুর-ফরিদপুর, ভায়া- চুয়াডাঙ্গা, ঝিনাইদহ, মাগুড়া</t>
  </si>
  <si>
    <t>মেহেরপুর-ফরিদপুর, ভায়া- কুষ্টিয়া, রাজবাড়ী</t>
  </si>
  <si>
    <t xml:space="preserve">ঠাকুরগাঁও-মাগুরা, ভায়া- দিনাজপুর, ঘোড়াঘাট, বগুড়া, নাটোর, লালন শাহ সেতু, কুষ্টিয়া, ঝিনাইদহ </t>
  </si>
  <si>
    <t>পিরোজপুর-চুয়াডাঙ্গা, ভায়া- বাগেরহাট, খুলনা, যশোর, ঝিনাইদহ</t>
  </si>
  <si>
    <t>শরিয়তপুর-বেনাপোল, ভায়া- মাদারীপুর, ফরিদপুর, মাগুড়া, আড়পাড়া, যশোর</t>
  </si>
  <si>
    <t>শরিয়তপুর-বেনাপোল, ভায়া- মাদারীপুর, গোপালগঞ্জ, খুলনা, যশোর</t>
  </si>
  <si>
    <t>যশোর-সিরাজগঞ্জ, ভায়া-ঝিনাইদহ, কুষ্টিয়া, লালন শাহ সেতু, বড়াইগ্রাম, হাটিকুমরুল।</t>
  </si>
  <si>
    <t>টেকনাফ-বগুড়া, ভায়া-কক্সবাজার, চট্রগ্রাম, ফেনী, কুমিল্লা, ঢাকার রামপুরা ব্রীজ, আশুলিয়া, চন্দ্রা, টাঙ্গাইল, যমুনা সেতু, হাটিকুমরুল</t>
  </si>
  <si>
    <t>সিলেট-নবীনগর, ভায়া-মৌলভিবাজার, ব্রাহ্মণবাড়িয়া, কোম্পানীগঞ্জ</t>
  </si>
  <si>
    <t>কুষ্টিয়া-খাগড়াছড়ি, ভায়া-রাজবাড়ী, পাটুরিয়া, নবীনগর, আশুলিয়া, ঢাকার রামপুরা ব্রীজ, কুমিল্লা, ফেনী, রামগড়</t>
  </si>
  <si>
    <t>কুষ্টিয়া-খাগড়াছড়ি, ভায়া-ঝিনাইদহ, মাগুড়া, ফরিদপুর, পাটুরিয়া, নবীনগর, আশুলিয়া, ঢাকার রামপুরা ব্রীজ, কুমিল্লা, ফেনী, রামগড়</t>
  </si>
  <si>
    <t>পিরোজপুর-রাজশাহী, ভায়া-বাগেরহাট, খুলনা, যশোর, ঝিনাইদহ, কুষ্টিয়া, লালন শাহ সেতু, নাটোর</t>
  </si>
  <si>
    <t>খুলনা-ফরিদপুর, ভায়া-যশোর, আড়পাড়া, মাগুড়া</t>
  </si>
  <si>
    <t>খুলনা-পটুয়াখালী, ভায়া-বাগেরহাট, পিরোজপুর, ঝালকাঠি, বরিশাল</t>
  </si>
  <si>
    <t>সিরাজগঞ্জ-মেহেরপুর, ভায়া-বড়াইগ্রাম, লালন শাহ সেতু, কুষ্টিয়া, ঝিনাইদহ, চুয়াডাঙ্গা</t>
  </si>
  <si>
    <t>গাজীপুর-বরিশাল ভায়া- জয়দেবপুর চৌরাস্তা, টঙ্গী, বিশ্বরোড, সায়দাবাদ, পদ্মা বহুমুখী সেতু, ভাঙ্গা, মাদারীপুর।</t>
  </si>
  <si>
    <t>পাবনা- বরিশাল, ভায়া- লালন শাহ সেতু, কুষ্টিয়া, ঝিনাইদাহ, মাগুরা, ফরিদপুর, মাদারীপুর।</t>
  </si>
  <si>
    <t>ময়মনসিংহ-বগুড়া ভায়া- কালিহাতি, যমুনা সেতু, হাটিকুমরুল</t>
  </si>
  <si>
    <t>কক্সবাজার-লালমনিরহাট, ভায়া-চট্টগ্রাম, ফেনী, কুমিল্লা, ঢাকার রামপুরা ব্রীজ, আশুলিয়া, কালিয়কৈর, টাঙ্গাইল, যমুনা সেতু, রংপুর।</t>
  </si>
  <si>
    <t>চট্টগ্রাম-খুলনা, ভায়া-ফেনী, কুমিল্লা, ঢাকার পোস্তগোলা সেতু, পদ্মা বহুমুখী সেতু, ভাঙ্গা, গোপালগঞ্জ।</t>
  </si>
  <si>
    <t>বরিশাল-চট্টগ্রাম, ভায়া- মাদারীপুর, শরীয়তপুর ফেরীঘাট, চাঁদপুর, লক্ষ্মীপুর, নোয়াখালী ফেনী।</t>
  </si>
  <si>
    <t xml:space="preserve">সিলেট-বরিশাল, ভায়া-মৌলভীবাজার, হবিগঞ্জ, ভৈরব, নরসিংদী, ঢাকার পোস্তাগোলা সেতু, পদ্মা বহুমুখী সেতু, ভাঙ্গা, মাদারীপুর। </t>
  </si>
  <si>
    <t xml:space="preserve">গাজীপুর (জয়দেবপুর)- চাঁপাইনবাবগঞ্জ, ভায়া-চন্দ্রা, টাঙ্গাইল, যমুনা সেতু, নলকা, বড়াইগ্রাম, নাটোর, রাজশাহী। </t>
  </si>
  <si>
    <t>পঞ্চগড়-চাঁপাইনবাবগঞ্জ, ভায়া-ঠাকুরগাঁও, দিনাজপুর, রংপুর, বগুড়া, নাটোর, রাজশাহী।</t>
  </si>
  <si>
    <t>রাজশাহী-রংপুর, ভায়া-নাটোর, বগুড়া।</t>
  </si>
  <si>
    <t>গাজীপুর-চাঁদপুর, ভায়া-গাজীপুর বাইপাস, গাউছিয়া, মদনপুর, কুমিল্লা।</t>
  </si>
  <si>
    <t>চট্টগ্রাম-বরগুনা, ভায়া-ফেনী, কুমিল্লা, ঢাকার পোস্তগোলা সেতু, পদ্মা বহুমুখী সেতু, ভাংগা, মাদারীপুর, বরিশাল, পটুয়াখালী, আমতলী।</t>
  </si>
  <si>
    <t>চাঁদপুর-চাঁপাইনবাবগঞ্জ, ভায়া-মদনপুর, গাউছিয়া, গাজীপুর বাইপাস, টাঙ্গাইল, যমুনা সেতু, নলকা, বড়াইগ্রাম, নাটোর, রাজশাহী।</t>
  </si>
  <si>
    <t>পাবনা-রংপুর, ভায়া-কাশিনাথপুর, শাহজাদপুর, বগুড়া।</t>
  </si>
  <si>
    <t>রংপুর-পাবনা, ভায়া- বগুড়া, নাটোর।</t>
  </si>
  <si>
    <t>চট্রগাম-রাজশাহী, ভায়া- ফেনী, কুমিল্লা, মদনপুর, গাউছিয়া, গাজীপুর বাইপাস, চন্দ্রা, টাঙ্গাইল, যমুনা সেতু, নলকা, বড়াইগ্রাম, নাটোর।</t>
  </si>
  <si>
    <t>কক্সবাজার-বেনাপোল, ভায়া- চট্টগ্রাম, ফেনী, কুমিল্লা, মদনপুর, গাউছিয়া, গাজীপুর বাইপাস, চন্দ্রা, পাটুরিয়া, ফরিদপুর, মাগুড়া, আড়পাড়া, যশোর।</t>
  </si>
  <si>
    <t>টেকনাফ-বেনাপোল, ভায়া- যশোর, আড়পাড়া, মাগুড়া, ফরিদপুর, পাটুরিয়া, নবীনগর,চন্দ্রা, গাজীপুর বাইপাস, গাউছিয়া, মদনপুর, কুমিল্লা, ফেনী , চট্টগ্রাম, কক্সবাজার।</t>
  </si>
  <si>
    <t>চট্রগ্রাম-খুলনা, ভায়া- ফেনী, কুমিল্লা, মদনপুর, গাউছিয়া, গাজীপুর বাইপাস, চন্দ্রা, নবীনগর, পাটুরিয়া, ফরিদপুর, মাগুড়া, আড়পাড়া, যশোর।</t>
  </si>
  <si>
    <t>চট্রগ্রাম-বেনাপোল ভায়া- ফেনী, কুমিল্লা, মদনপুর, গাউছিয়া, গাজীপুর বাইপাস, চন্দ্রা, নবীনগর, পাটুরিয়া, ফরিদপুর, মাগুড়া, আড়পাড়া, যশোর।</t>
  </si>
  <si>
    <t xml:space="preserve">কুমিল্লা -কুড়িগ্রাম, ভায়া- মদনপুর, গাউছিয়া, গাজীপুর বাইপাস, চন্দ্রা, টাঙ্গাইল, যমুনা সেতু, হাটিকুমরুল, বগুড়া, রংপুর। </t>
  </si>
  <si>
    <t xml:space="preserve">রংপুর-সিলেট, ভায়া- বগুড়া, হাটিকুমরুল, যমুনা সেতু, টাঙ্গাইল, চন্দ্রা, গাজীপুর বাইপাস, নরসিংদী, ভৈরব, মৌলভিবাজার। </t>
  </si>
  <si>
    <t xml:space="preserve">কক্সবাজার-লালমনিরহাট, ভায়া-চট্টগ্রাম, ফেনী, কুমিল্লা, মদনপুর, গাউছিয়া, গাজীপুর বাইপাস, চন্দ্রা, টাঙ্গাইল, যমুনা সেতু, রংপুর। </t>
  </si>
  <si>
    <t>দিনাজপুর-সিলেট, ভায়া- রংপুর, বগুড়া, হাটিকুমরুল, যমুনা সেতু, টাঙ্গাইল, চন্দ্রা, গাজীপুর বাইপাস, গাউছিয়া, মদনপুর, নরসিংদী, ভৈরব, মাধবপুর, মৌলভিবাজার।</t>
  </si>
  <si>
    <t>বগুড়া-সিলেট, ভায়া- হাটিকুমরুল, যমুনা সেতু, টাঙ্গাইল, চন্দ্রা, গাজীপুর বাইপাস, গাউছিয়া, মদনপুর, নরসিংদী, ভৈরব, মৌলভীবাজার।</t>
  </si>
  <si>
    <t>টাঙ্গাইল-মাইজদী (নোয়াখালী), ভায়া- চন্দ্রা, গাজীপুর বাইপাস, গাউছিয়া, মদনপুর, কুমিল্লা, ফেনী।</t>
  </si>
  <si>
    <t>সিলেট-চুয়াডাঙ্গা, ভায়া-মৌলভিবাজার, সায়েস্তাগঞ্জ, ব্রাহ্মণবাড়িয়া, নরসিংদী, মদনপুর, গাউছিয়া, গাজীপুর বাইপাস, চন্দ্রা, টাঙ্গাইল, যমুনা সেতু, বড়াইগ্রাম, বনপাড়া, লালন শাহ সেতু, কুষ্টিয়া, ঝিনাইদহ।</t>
  </si>
  <si>
    <t>দিনাজপুর- টেকনাফ, ভায়া- রংপুর, বগুড়া, হাটিকুমরুল, যমুনা সেতু, টাঙ্গাইল, চন্দ্রা, গাজীপুর বাইপাস, গাউছিয়া, মদনপুর, কুমিল্লা, ফেনী, চট্রগ্রাম।</t>
  </si>
  <si>
    <t>জামালপুর-চট্রগ্রাম, ভায়া- টাঙ্গাইল, চন্দ্রা, গাজীপুর বাইপাস, গাউছিয়া, মদনপুর, কুমিল্লা, ফেনী।</t>
  </si>
  <si>
    <t>টাঙ্গাইল-লক্ষ্মীপুর, ভায়া- আশুলিয়া, চন্দ্রা, গাজীপুর বাইপাস, গাউছিয়া, মদনপুর, কুমিল্লা, ফেনী।</t>
  </si>
  <si>
    <t>খুলনা-টেকনাফ, ভায়া- যশোর, আড়পাড়া, মাগুরা, ফরিদপুর, পাটুরিয়া, নবীনগর, চন্দ্রা, গাজীপুর বাইপাস, গাউছিয়া, মদনপুর, কুমিল্লা, ফেনী, চট্রগ্রাম, কক্সবাজার ।</t>
  </si>
  <si>
    <t>চট্রগ্রাম-নওগাঁ, ভায়া-ফেনী, কুমিল্লা, মদনপুর, গাউছিয়া, গাজীপুর বাইপাস, চন্দ্রা, টাঙ্গাইল, যমুনা সেতু, হাটিকুমরুল, বগুড়া।</t>
  </si>
  <si>
    <t>গাজীপুর (শিববাড়ী)- খুলনা ভায়া-জয়দেবপুর চৌরাস্তা, টঙ্গী, ‍কুড়িল বিশ্বরোড, সায়দাবাদ, পদ্মা বহুমুখী সেতু, ভাঙ্গা, গোপালগঞ্জ।</t>
  </si>
  <si>
    <t>গাজীপুর (শিববাড়ী)-কুয়াকাটা ভায়া-জয়দেবপুর চৌরাস্তা, টঙ্গী, কুড়িল বিশ্বরোড, সায়দাবাদ, পদ্মা বহুমুখী সেতু, ভাঙ্গা, মাদারীপুর, বরিশাল, পটুয়াখালী।</t>
  </si>
  <si>
    <t>কক্সবাজার-বেনাপোল ভায়া-চট্টগ্রাম, ফেনী, কুমিল্লা, ঢাকা (পোস্তগোলা ব্রিজ), পদ্মা বহুমুখী সেতু, ভাঙ্গা, মধুমতি সেতু, নড়াইল, যশোর।</t>
  </si>
  <si>
    <t>সিলেট-নোয়াখালী ভায়া-ব্রাহ্মণবাড়িয়া, কুমিল্লা, লাকসাম, চৌমুহনী।</t>
  </si>
  <si>
    <t>চট্টগ্রাম-বেনাপোল ভায়া-ফেনী, কুমিল্লা, ঢাকা (পোস্তগোলা ব্রিজ), পদ্মা বহুমুখী সেতু, ভাঙ্গা, ফরিদপুর, মাগুরা, আড়পাড়া, যশোর।</t>
  </si>
  <si>
    <t>নরসিংদী-খুলনা ভায়া-কাঁচপুর ব্রিজ, ঢাকার (পোস্তগোলা ব্রিজ), পদ্মা বহুমুখী সেতু, ভাঙ্গা, গোপালগঞ্জ, মোল্লাহাট, ফকিরহাট।</t>
  </si>
  <si>
    <t>স ও জ হতে প্রাপ্ত দূরত্ব (কি:মি)</t>
  </si>
  <si>
    <t>ভাড়া (প্রতি কি.মি)</t>
  </si>
  <si>
    <t>70% বোঝাই বিবেচনায়</t>
  </si>
  <si>
    <t>দূরত্ব X ভাড়া</t>
  </si>
  <si>
    <t>ঢাকা(মহাখালী)- ময়মনসিংহ ভায়া- আশুলিয়া, চন্দ্রা, টাঙ্গাইল।</t>
  </si>
  <si>
    <t>ঢাকা (মহাখালী)- রংপুর ভায়া- গাজীপুর চৌরাস্তা, চন্দ্রা, টাঙ্গাইল, যমুনা সেতু, হাটিকুমরুল, বগুড়া।</t>
  </si>
  <si>
    <t>ঢাকা (মহাখালী)- গাইবান্ধা ভায়া- গাজীপুর চৌরাস্তা, চন্দ্রা, টাঙ্গাইল, যমুনা সেতু, হাটিকুমরুল, বগুড়া।</t>
  </si>
  <si>
    <t>ঢাকা (মহাখালী)- কুড়িগ্রাম ভায়া- গাজীপুর চৌরাস্তা, চন্দ্রা, টাঙ্গাইল, যমুনা সেতু, হাটিকুমরুল, বগুড়া, হারাগাছ ।</t>
  </si>
  <si>
    <t>ঢাকা (মহাখালী)- চিলমারী ভায়া- গাজীপুর চৌরাস্তা, চন্দ্রা, টাঙ্গাইল, যমুনা সেতু, হাটিকুমরুল, বগুড়া, রংপুর কুড়িগ্রাম ।</t>
  </si>
  <si>
    <t>ঢাকা (মহাখালী)- ভূরুঙ্গামারী, ভায়া- গাজীপুর চৌরাস্তা, চন্দ্রা, টাঙ্গাইল, যমুনা সেতু, হাটিকুমরুল, বগুড়া, রংপুর, কুড়িগ্রাম ।</t>
  </si>
  <si>
    <t>ঢাকা (মহাখালী)-সিলেট ভায়া- টঙ্গী, ভৈরব, ব্রাহ্মণবাড়িয়া, মাধবপুর, শায়েস্তাগঞ্জ, শেরপুর।</t>
  </si>
  <si>
    <t>ঢাকা (মহাখালী)-সুনামগঞ্জ, ভায়া- - টঙ্গী, ভৈরব, ব্রাহ্মণবাড়িয়া, মাধবপুর, সিলেট।</t>
  </si>
  <si>
    <t>ঢাকা (মহাখালী)-ছাতক ভায়া- টঙ্গী, নরসিংদী, ভৈরব, মাধবপুর, শায়েস্তাগঞ্জ, সিলেট।</t>
  </si>
  <si>
    <t>ঢাকা (মহাখালী)-হবিগঞ্জ ভায়া- টঙ্গী, নরসিংদী, ভৈরব, মাধবপুর, শায়েস্তাগঞ্জ।</t>
  </si>
  <si>
    <t>ঢাকা (মহাখালী)- মৌলভীবাজার ভায়া- টঙ্গী, নরসিংদী, ভৈরব, ব্রাহ্মণবাড়িয়া, শায়েস্তাগঞ্জ।</t>
  </si>
  <si>
    <t>ঢাকা (মহাখালী)- ব্রাহ্মণবাড়িয়া, ভায়া- টঙ্গী, কালিগঞ্জ, নরসিংদী, ভৈরব।</t>
  </si>
  <si>
    <t>ঢাকা (মহাখালী)-কক্সবাজার ভায়া- কুড়িল বিশ্বরোড, রামপুরা ব্রীজ, সায়দাবাদ, কুমিল্লা, ফেনী, চট্টগ্রাম।</t>
  </si>
  <si>
    <t>ঢাকা (মহাখালী)-নরসিংদী ভায়া- টঙ্গী, কালিগঞ্জ, ঘোড়াশাল।</t>
  </si>
  <si>
    <t>ঢাকা (সায়দাবাদ)-তবলছড়ী, ভায়া- কুমিল্লা, ফেনী, রামগড়।</t>
  </si>
  <si>
    <t>ঢাকা (সায়দাবাদ)-মেঘনা উপজেলা (কুমিল্লা) ভায়া- ভাটেরচর।</t>
  </si>
  <si>
    <t>ঢাকা (সায়দাবাদ)-কানাচুয়া (কুমিল্লা) ভায়া- গৌরীপুর, পেন্নাই।</t>
  </si>
  <si>
    <t>ঢাকা (সায়দাবাদ)-হাজীগঞ্জ ভায়া- গৌরীপুর, কচুয়া।</t>
  </si>
  <si>
    <t>ঢাকা (সায়দাবাদ)- পিরোজপুর ভায়া- পদ্মা বহুমুখী সেতু, ভাঙ্গা, গোপালগঞ্জ, ঘোনাপাড়া, টুঙ্গিপাড়া।</t>
  </si>
  <si>
    <t>ঢাকা (সায়দাবাদ)-বরগুনা ভায়া- পদ্মা বহুমুখী সেতু, ভাঙ্গা, মাদারীপুর, বরিশাল, বাকেরগঞ্জ, মির্জাগঞ্জ।</t>
  </si>
  <si>
    <t>ঢাকা (সায়দাবাদ)-বরগুনা ভায়া- পদ্মা বহুমুখী সেতু, ভাঙ্গা, মাদারীপুর, বরিশাল, পটুয়াখালী, আমতলী।</t>
  </si>
  <si>
    <t>ঢাকা (সায়দাবাদ)-হিজলা ভায়া- পদ্মাবহুমুখী সেতু, ভাংঙ্গা, মাদারীপুর, বাবুগঞ্জ, মূলাদী।</t>
  </si>
  <si>
    <t>ঢাকা (সায়দাবাদ)-খুলনা ভায়া- পদ্মা বহুমুখী সেতু, ভাঙ্গা, মধুমতি সেতু, নড়াইল, যশোর।</t>
  </si>
  <si>
    <t>ঢাকা (সায়দাবাদ)-সাতক্ষীরা ভায়া- পদ্মা বহুমুখী সেতু, ভাঙ্গা, মধুমতি সেতু, নড়াইল, যশোর, কলারোয়া।</t>
  </si>
  <si>
    <t>ঢাকা (সায়দাবাদ)-নড়াইল ভায়া- পদ্মা বহুমুখী সেতু, ভাঙ্গা, মধুমতি সেতু।</t>
  </si>
  <si>
    <t>ঢাকা (সায়দাবাদ)-বেনাপোল ভায়া- পদ্মা বহুমুখী সেতু, ভাঙ্গা, মধুমতি সেতু, নড়াইল, যশোর।</t>
  </si>
  <si>
    <t>ঢাকা (সায়দাবাদ)-নরসিংদী ভায়া- কাঁচপুর সেতু।</t>
  </si>
  <si>
    <t>ঢাকা (সায়দাবাদ)- মুক্তারপুর ভায়া- নারায়ণগঞ্জ (পাগলা), টঙ্গীবাড়ী।</t>
  </si>
  <si>
    <t>ঢাকা (গাবতলী)-পঞ্চগড়, ভায়া- নবীনগর,চন্দ্রা,যমুনা সেতু, হাটিকুমরুল, বগুড়া, রংপুর, সৈয়দপুর, দিনাজপুর, ঠাকুরগাঁও।</t>
  </si>
  <si>
    <t>ঢাকা (সাভার ইপিজেড)-ভৈরব ভায়া- আবদুল্লাপুর, ঘোড়াশাল, নরসিংদী।</t>
  </si>
  <si>
    <t>খুলনা-চাঁপাইনবাবগঞ্জ ভায়া- যশোর, ঝিনাইদহ, কুষ্টিয়া, লালন শাহ সেতু, নাটোর, রাজশাহী</t>
  </si>
  <si>
    <t>মাগুড়া-মোকসেদপুর ভায়া- ফরিদপুর</t>
  </si>
  <si>
    <t>পঞ্চগড়-সিলেট, ভায়া- ঠাকুরগাঁও, সৈয়দপুর, রংপুর, বগুড়া, হাটিকুমরুল, যমুনা সেতু, টাঙ্গাইল, চন্দ্রা, আশুলিয়া, ঢাকার রামপুরা ব্রীজ, নরসিংদী, ভৈরব, মৌলভিবাজার।</t>
  </si>
  <si>
    <t>সিলেট-নীলফামারী ভায়া- মৌলভিবাজার, ভৈরব, নরসিংদী, ঢাকার রামপুরা ব্রীজ, আশুলিয়া, চন্দ্রা, টাঙ্গাইল, যমুনা সেতু, হাটিকুমরুল, বগুড়া, রংপুর, সৈয়দপুর</t>
  </si>
  <si>
    <t>ময়মনসিংহ-চট্রগ্রাম ভায়া- ভালুকা, ঢাকার রামপুরা ব্রীজ, নরসিংদী, ভৈরব, ব্রাহ্মণবাড়িয়া, কুমিল্লা, ফেনী</t>
  </si>
  <si>
    <t>কক্সবাজার-খুলনা ভায়া- চট্রগ্রাম, ফেনী, কুমিল্লা, ঢাকার রামপুরা ব্রীজ, আশুলিয়া, পাটুরিয়া, ফরিদপুর, মাগুড়া, আড়পাড়া, যশোর</t>
  </si>
  <si>
    <t>বরিশাল-খুলনা ভায়া- ঝালকাঠি, পিরোজপুর, বাগেরহাট</t>
  </si>
  <si>
    <t>বরিশাল-খুলনা ভায়া- ফরিদপুর, মাগুড়া, আড়পাড়া, যশোর</t>
  </si>
  <si>
    <t>চট্রগ্রাম-খুলনা ভায়া- ফেনী, কুমিল্লা, চাঁদপুর, শরিয়তপুর, মাদারীপুর, গোপালগঞ্জ, বাগেরহাট</t>
  </si>
  <si>
    <t>খুলনা-টেকনাফ ভায়া- যশোর, আড়পাড়া, মাগুড়া, ফরিদপুর, পাটুরিয়া, নবীনগর, আশুলিয়া, ঢাকার রামপুরা ব্রীজ, কুমিল্লা, ফেনী, চট্রগ্রাম</t>
  </si>
  <si>
    <t>কুষ্টিয়া-সিরাজগঞ্জ ভায়া- লালন শাহ সেতু, বড়াইগ্রাম, হাটিকুমরুল</t>
  </si>
  <si>
    <t>ফরিদপুর-রংপুর ভায়া- রাজবাড়ী, কুষ্টিয়া, লালন শাহ সেতু, নাটোর, বগুড়া</t>
  </si>
  <si>
    <t>রংপুর-বরিশাল ভায়া- বগুড়া, নাটোর, লালন শাহ সেতু, কুষ্টিয়া, রাজবাড়ী, ফরিদপুর</t>
  </si>
  <si>
    <t>বাগেরহাট-বাউফল ভায়া- পিরোজপুর, ঝালকাঠি, বরিশাল, বাকেরগঞ্জ</t>
  </si>
  <si>
    <t>খুলনা-সিরাজগঞ্জ ভায়া- যশোর, ঝিনাইদহ, কুষ্টিয়া, লালন শাহ সেতু, পাবনা</t>
  </si>
  <si>
    <t>ঠাকুরগাঁও-মাদারীপুর ভায়া- দিনাজপুর, ঘোড়াঘাট, বগুড়া, নাটোর, লালন শাহ সেতু, কুষ্টিয়া, রাজবাড়ী, ফরিদপুর</t>
  </si>
  <si>
    <t>রাজশাহী-টেকনাফ ভায়া- নাটোর, নলকা, যমুনা সেতু, টাঙ্গাইল, আশুলিয়া, ঢাকার রামপুরা ব্রীজ, কুমিল্লা, ফেনী, চট্রগ্রাম</t>
  </si>
  <si>
    <t>ঠাকুরগাঁও-কুষ্টিয়া ভায়া- দিনাজপুর, গোবিন্দগঞ্জ, বগুড়া, নাটোর, লালন শাহ সেতু</t>
  </si>
  <si>
    <t>বাগেরহাট-বরগুনা ভায়া- পিরোজপুর, ঝালকাঠি, বরিশাল, পটুয়াখালী</t>
  </si>
  <si>
    <t>নওগাঁ-যশোর ভায়া- বগুড়া, নাটোর, লালন শাহ সেতু, কুষ্টিয়া, ঝিঁনাইদহ</t>
  </si>
  <si>
    <t>বাগেরহাট-পটুয়াখালী ভায়া- পিরোজপুর, ঝালকাঠি, বরিশাল</t>
  </si>
  <si>
    <t>পিরোজপুর-লক্ষীপাশা(লোহাগড়া) ভায়া- বাগেরহাট, খুলনা, যশোর, নড়াইল</t>
  </si>
  <si>
    <t>মেহেরপুর-পাবনা ভায়া- ঝিনাইদহ, কুষ্টিয়া, লালন শাহ সেতু</t>
  </si>
  <si>
    <t>মেহেরপুর-রংপুর ভায়া- লালন শাহ সেতু, নাটোর, বগুড়া</t>
  </si>
  <si>
    <t>পাবনা-বরিশাল ভায়া- লালন শাহ সেতু, কুষ্টিয়া, রাজবাড়ী, ফরিদপুর</t>
  </si>
  <si>
    <t>খুলনা-পঞ্চগড় ভায়া- যশোর, ঝিনাইদহ, কুষ্টিয়া, লালন শাহ সেতু, নাটোর, বগুড়া, রংপুর, ঠাকুরগাঁও</t>
  </si>
  <si>
    <t>কুষ্টিয়া-রংপুর ভায়া- লালন শাহ সেতু, নাটোর, বগুড়া</t>
  </si>
  <si>
    <t>কুষ্টিয়া-নওগাঁ ভায়া- লালন শাহ সেতু, নাটোর, রাজশাহী</t>
  </si>
  <si>
    <t>কুষ্টিয়া-রাজশাহী ভায়া- লালন শাহ সেতু, নাটোর</t>
  </si>
  <si>
    <t>কুষ্টিয়া-গাইবান্ধা ভায়া- লালন শাহ সেতু, নাটোর, বগুড়া, পলাশবাড়ী</t>
  </si>
  <si>
    <t>খুলনা-বরগুনা ভায়া- বাগেরহাট, পিরোজপুর, ঝালকাঠি, বরিশাল, পটুয়াখালী</t>
  </si>
  <si>
    <t>রাজশাহী-বাগেরহাট ভায়া- নাটোর, লালন শাহ সেতু, কুষ্টিয়া, ঝিনাইদহ, যশোর, খুলনা</t>
  </si>
  <si>
    <t>রাজশাহী-রাজবাড়ী ভায়া- নাটোর, লালন শাহ সেতু, কুষ্টিয়া</t>
  </si>
  <si>
    <t>কক্সবাজার-দিনাজপুর ভায়া- চট্রগ্রাম, ফেনী, কুমিল্লা, ঢাকার রামপুরা ব্রীজ, আশুলিয়া, চন্দ্রা, টাঙ্গাইল, যমুনা সেতু, হাটিকুমরুল, বগুড়া, ঘোড়াঘাট</t>
  </si>
  <si>
    <t>কক্সবাজার-রংপুর ভায়া- চট্রগ্রাম, ফেনী, কুমিল্লা, ঢাকার রামপুরা ব্রীজ, আশুলিয়া, চন্দ্রা, টাঙ্গাইল, যমুনা সেতু, হাটিকুমরুল, বগুড়া</t>
  </si>
  <si>
    <t>কুষ্টিয়া-কুড়িগ্রাম ভায়া- লালন শাহ সেতু, নাটোর, বগুড়া, মিঠাপুকুর, হারাগাছ</t>
  </si>
  <si>
    <t>মেহেরপুর-ময়মনসিংহ ভায়া- ভেড়ামাড়া, লালন শাহ সেতু, বড়াইগ্রাম, হাটিকুমরুল, যমুনা সেতু, কালিহাতি</t>
  </si>
  <si>
    <t>পঞ্চগড়-ফরিদপুর ভায়া- ঠাকুরগাঁও, দিনাজপুর, ঘোড়াঘাট, বগুড়া, নাটোর, লালন শাহ সেতু, কুষ্টিয়া, ঝিনাইদহ, মাগুড়া</t>
  </si>
  <si>
    <t>পঞ্চগড়-ফরিদপুর ভায়া- ঠাকুরগাঁও, দিনাজপুর, ঘোড়াঘাট, বগুড়া, নাটোর, লালন শাহ সেতু, কুষ্টিয়া, রাজবাড়ী</t>
  </si>
  <si>
    <t>সিলেট-বেনাপোল ভায়া- মৌলভিবাজার, ভৈরব, নরসিংদী, ঢাকার রামপুরা ব্রীজ, আশুলিয়া, নবীনগর, পাটুরিয়া, ফরিদপুর, মাগুড়া, আড়পাড়া, যশোর।</t>
  </si>
  <si>
    <t>যশোর-সিরাজগঞ্জ ভায়া- ঝিনাইদহ, কুষ্টিয়া, লালন শাহ সেতু, পাবনা, শাহাজাদপুর</t>
  </si>
  <si>
    <t>কক্সবাজার-বগুড়া ভায়া- চট্রগ্রাম, ফেনী, কুমিল্লা, ঢাকার রামপুরা ব্রীজ, আশুলিয়া, চন্দ্রা, টাঙ্গাইল, যমুনা সেতু, হাটিকুমরুল</t>
  </si>
  <si>
    <t>কক্সবাজার-জামালপুর ভায়া- চট্রগ্রাম, ফেনী, কুমিল্লা, ঢাকার রামপুরা ব্রীজ, আশুলিয়া, চন্দ্রা, টাঙ্গাইল, মধুপুর।</t>
  </si>
  <si>
    <t>কক্সবাজার-রাজশাহী ভায়া- চট্রগ্রাম, ফেনী, কুমিল্লা, ঢাকার রামপুরা ব্রীজ, আশুলিয়া, চন্দ্রা, টাঙ্গাইল, যমুনা সেতু, নলকা, বড়াইগ্রাম, নাটোর</t>
  </si>
  <si>
    <t>কক্সবাজার-নারায়নগঞ্জ ভায়া- চট্রগ্রাম, ফেনী, কুমিল্লা</t>
  </si>
  <si>
    <t>কক্সবাজার-বাগেরহাট ভায়া- চট্রগ্রাম, ফেনী, কুমিল্লা, ঢাকার রামপুরা ব্রীজ, আশুলিয়া, নবীনগর, পাটুরিয়া, ফরিদপুর, মাগুড়া, আড়পাড়া, যশোর, খুলনা।</t>
  </si>
  <si>
    <t>চট্রগ্রাম-ইশ্বরদী ভায়া- ফেনী, কুমিল্লা, ঢাকার রামপুরা ব্রীজ, আশুলিয়া, চন্দ্রা, টাঙ্গাইল, যমুনা সেতু, নলকা, বড়াইগ্রাম</t>
  </si>
  <si>
    <t>চট্রগ্রাম-ইশ্বরদী ভায়া- ফেনী, কুমিল্লা, ঢাকার রামপুরা ব্রীজ, আশুলিয়া, চন্দ্রা, টাঙ্গাইল, যমুনা সেতু, নলকা, শাহাজাদপুর, পাবনা</t>
  </si>
  <si>
    <t>চট্রগ্রাম-বগুড়া ভায়া- ফেনী, কুমিল্লা, ঢাকার রামপুরা ব্রীজ, আশুলিয়া, চন্দ্রা, টাঙ্গাইল, যমুনা সেতু, হাটিকুমরুল</t>
  </si>
  <si>
    <t>চট্রগ্রাম-নওগাঁ ভায়া- ফেনী, কুমিল্লা, ঢাকার রামপুরা ব্রীজ, আশুলিয়া, চন্দ্রা, টাঙ্গাইল, যমুনা সেতু, হাটিকুমরুল, বগুড়া</t>
  </si>
  <si>
    <t>চট্রগ্রাম-চাঁপাইনবাবগঞ্জ ভায়া- ফেনী, কুমিল্লা, ঢাকার রামপুরা ব্রীজ, আশুলিয়া, চন্দ্রা, টাঙ্গাইল, যমুনা সেতু, নলকা, বড়াইগ্রাম, নাটোর, রাজশাহী।</t>
  </si>
  <si>
    <t>চট্রগ্রাম-ফরিদপুর ভায়া- ফেনী, কুমিল্লা, ঢাকার রামপুরা ব্রীজ, আশুলিয়া, নবীনগর, পাটুরিয়া</t>
  </si>
  <si>
    <t>চট্রগ্রাম-সাতক্ষীরা ভায়া- ফেনী, কুমিল্লা, ঢাকার রামপুরা ব্রীজ, আশুলিয়া, পাটুরিয়া, ফরিদপুর, মাগুরা, আড়পাড়া, যশোর, খুলনা</t>
  </si>
  <si>
    <t>চট্রগ্রাম-দিনাজপুর ভায়া- ফেনী, কুমিল্লা, ঢাকার রামপুরা ব্রীজ, আশুলিয়া, চন্দ্রা, টাঙ্গাইল, যমুনা সেতু, হাটিকুমরুল, বগুড়া, ঘোড়াঘাট</t>
  </si>
  <si>
    <t>কুষ্টিয়া-বরিশাল ভায়া- রাজবাড়ী, ফরিদপুর, মাদারীপুর</t>
  </si>
  <si>
    <t>গোপালগঞ্জ-বেনাপোল ভায়া- মোল্লাহাট, খুলনা, যশোর</t>
  </si>
  <si>
    <t>যশোর-রংপুর ভায়া- ঝিনাইদহ, কুষ্টিয়া, লালন শাহ সেতু, নাটোর, রাজশাহী, নওগাঁ, বগুড়া</t>
  </si>
  <si>
    <t>ময়মনসিংহ-চট্রগ্রাম ভায়া- ভালুকা, বিশ্বরোড, ঢাকার রামপুরা ব্রীজ, কুমিল্লা, ফেনী</t>
  </si>
  <si>
    <t>চট্রগ্রাম-সিলেট ভায়া- ফেনী, ময়নামতি ক্যান্টনমেন্ট, ব্রাহ্মণবাড়িয়া, হবিগঞ্জ, মৌলভিবাজার</t>
  </si>
  <si>
    <t>কুমিল্লা -লালমনিরহাট ভায়া- ঢাকার রামপুরা ব্রীজ, আশুলিয়া, চন্দ্রা, টাঙ্গাইল, যমুনা সেতু, হাটিকুমরুল, বগুড়া, রংপুর।</t>
  </si>
  <si>
    <t>সিরাজগঞ্জ -পটুয়াখালী ভায়া- শাহজাদপুর, কাশিনাথপুর, নাজিরগঞ্জ ফেরী ঘাট, দাওয়াপাড়া ফেরীঘাট, রাজবাড়ী, ফরিদপুর, মাদারীপুর, বরিশাল</t>
  </si>
  <si>
    <t xml:space="preserve">কুষ্টিয়া-ময়মনসিংহ ভায়া- লালন শাহ সেতু, বড়াইগ্রাম, নলকা, যমুনা সেতু, টাঙ্গাইল, গাজীপুর চৌরাস্তা, ভালুকা </t>
  </si>
  <si>
    <t>রাজশাহী-সিলেট ভায়া- নাটোর, বড়াইগ্রাম, নলকা, যমুনা সেতু, চন্দ্রা, গাজীপুর বাইপাস, মীরের বাজার, নরসিংদী, ব্রাহ্মণবাড়িয়া, শায়েস্তাগঞ্জ, মৌলভীবাজার</t>
  </si>
  <si>
    <t>চট্টগ্রাম-নীলফামারী ভায়া- ফেনী, কুমিল্লা, মদনপুর, গাউছিয়া, গাজীপুর বাইপাস, চন্দ্রা, টাঙ্গাইল, বগুড়া, রংপুর, সৈয়দপুর।</t>
  </si>
  <si>
    <t>কক্সবাজার-সিলেট ভায়া- চট্রগ্রাম, ফেনী, কুমিল্লা, ব্রাহ্মণবাড়িয়া, শায়েস্তাগঞ্জ, মৌলভিবাজার।</t>
  </si>
  <si>
    <t>কক্সবাজার-রাজশাহী ভায়া- চট্রগ্রাম, ফেনী, কুমিল্লা, মদনপুর, গাউছিয়া, গাজীপুর বাইপাস, চন্দ্রা, টাঙ্গাইল, যমুনা সেতু, নলকা, বড়াইগ্রাম, নাটোর।</t>
  </si>
  <si>
    <t>কক্সবাজার-বগুড়া ভায়া- চট্রগ্রাম, ফেনী, কুমিল্লা, মদনপুর, গাউছিয়া, মিরের বাজার, গাজীপুর বাইপাস, চন্দ্রা, টাঙ্গাইল, যমুনা সেতু, হাটিকুমরুল।</t>
  </si>
  <si>
    <t>চট্রগ্রাম-সাতক্ষীরা ভায়া- ফেনী, কুমিল্লা, মদনপুর, গাউছিয়া, মিরের বাজার, গাজীপুর বাইপাস, চন্দ্রা, নবীনগর, পাটুরিয়া, ফরিদপুর, মাগুড়া, আড়পাড়া, যশোর, খুলনা।</t>
  </si>
  <si>
    <t>কক্সবাজার-খুলনা ভায়া- চট্রগ্রাম, ফেনী, কুমিল্লা, মদনপুর, গাউছিয়া, গাজীপুর বাইপাস, চন্দ্রা, নবীনগর, পাটুরিয়া, ফরিদপুর, মাগুড়া, আড়পাড়া, যশোর।</t>
  </si>
  <si>
    <t>চট্রগ্রাম-ইশ্বরদী ভায়া- ফেনী, কুমিল্লা, মদনপুর, গাউছিয়া, গাজীপুর বাইপাস, চন্দ্রা, টাঙ্গাইল, যমুনা সেতু, নলকা, শাহাজাদপুর, পাবনা</t>
  </si>
  <si>
    <t>চট্রগ্রাম-চাঁপাইনবাবগঞ্জ ভায়া- ফেনী, কুমিল্লা, মদনপুর, গাউছিয়া, গাজীপুর বাইপাস, চন্দ্রা, টাঙ্গাইল, যমুনা সেতু, নলকা, বড়াইগ্রাম, নাটোর, রাজশাহী।</t>
  </si>
  <si>
    <t xml:space="preserve">চট্রগ্রাম-দিনাজপুর ভায়া- ফেনী, কুমিল্লা, মদনপুর, গাউছিয়া, গাজীপুর বাইপাস, চন্দ্রা, টাঙ্গাইল, যমুনা সেতু, হাটিকুমরুল, বগুড়া, ঘোড়াঘাট। </t>
  </si>
  <si>
    <t xml:space="preserve">কক্সবাজার-রংপুর ভায়া- চট্রগ্রাম, ফেনী, কুমিল্লা, মদনপুর, গাউছিয়া, গাজীপুর বাইপাস, চন্দ্রা, টাঙ্গাইল, যমুনা সেতু, হাটিকুমরুল, বগুড়া।  </t>
  </si>
  <si>
    <t xml:space="preserve">চট্রগ্রাম-ইশ্বরদী ভায়া- ফেনী, কুমিল্লা, মদনপুর, গাউছিয়া, গাজীপুর বাইপাস, চন্দ্রা, টাঙ্গাইল, যমুনা সেতু, নলকা, বড়াইগ্রাম </t>
  </si>
  <si>
    <t>চট্রগ্রাম-বগুড়া ভায়া- ফেনী, কুমিল্লা, মদনপুর, গাউছিয়া, গাজীপুর বাইপাস, চন্দ্রা, টাঙ্গাইল, যমুনা সেতু, হাটিকুমরুল</t>
  </si>
  <si>
    <t>সিলেট-বেনাপোল ভায়া- মৌলভিবাজার, ভৈরব, নরসিংদী, মদনপুর, গাউছিয়া, গাজীপুর বাইপাস, চন্দ্রা, নবীনগর, পাটুরিয়া, ফরিদপুর, মাগুড়া, আড়পাড়া, যশোর।</t>
  </si>
  <si>
    <t>পঞ্চগড়-সিলেট ভায়া- ঠাকুরগাঁও, সৈয়দপুর, রংপুর, বগুড়া, হাটিকুমরুল, যমুনা সেতু, টাঙ্গাইল, চন্দ্রা, গাজীপুর বাইপাস, গাউছিয়া, মদনপুর, নরসিংদী, ভৈরব, মৌলভিবাজার।</t>
  </si>
  <si>
    <t>সিলেট-নীলফামারী ভায়া- মৌলভিবাজার, ভৈরব, নরসিংদী, মদনপুর, গাউছিয়া, গাজীপুর বাইপাস, চন্দ্রা, টাঙ্গাইল, যমুনা সেতু, হাটিকুমরুল, বগুড়া, রংপুর, সৈয়দপুর।</t>
  </si>
  <si>
    <t xml:space="preserve">কক্সবাজার-জামালপুর ভায়া- চট্রগ্রাম, ফেনী, কুমিল্লা,মদনপুর, গাউছিয়া, গাজীপুর বাইপাস, চন্দ্রা, টাঙ্গাইল, মধুপুর </t>
  </si>
  <si>
    <t xml:space="preserve">কক্সবাজার-দিনাজপুর ভায়া- চট্রগ্রাম, ফেনী, কুমিল্লা, মদনপুর, গাউছিয়া, গাজীপুর বাইপাস, চন্দ্রা, টাঙ্গাইল, যমুনা সেতু, হাটিকুমরুল, বগুড়া, ঘোড়াঘাট। </t>
  </si>
  <si>
    <t>চট্রগ্রাম-দিনাজপুর ভায়া- ফেনী, কুমিল্লা, মদনপুর, গাউছিয়া, গাজীপুর বাইপাস, চন্দ্রা, টাঙ্গাইল, যমুনা সেতু, হাটিকুমরুল, বগুড়া, রংপুর, সৈয়দপুর।</t>
  </si>
  <si>
    <t>চট্রগ্রাম-ফরিদপুর ভায়া- ফেনী, কুমিল্লা, মদনপুর, গাউছিয়া, গাজীপুর বাইপাস, চন্দ্রা, নবীনগর, পাটুরিয়া</t>
  </si>
  <si>
    <t>কুমিল্লা -লালমনিরহাট ভায়া- মদনপুর, গাউছিয়া, গাজীপুর বাইপাস, চন্দ্রা, টাঙ্গাইল, যমুনা সেতু, হাটিকুমরুল, বগুড়া, রংপুর।</t>
  </si>
  <si>
    <t>ময়মনসিংহ-চট্রগ্রাম ভায়া- ভালুকা, গাজীপুর বাইপাস, গাউছিয়া, মদনপুর, নরসিংদী, ভৈরব, ব্রাহ্মণবাড়িয়া, কুমিল্লা, ফেনী।</t>
  </si>
  <si>
    <t>সিলেট-জীবনণগর (চুয়াডাঙ্গা) ভায়া- মৌলভিবাজার, সায়েস্তাগঞ্জ, ব্রাহ্মণবাড়িয়া, নরসিংদী, মদনপুর, গাউছিয়া, গাজীপুর বাইপাস, চন্দ্রা, নবীনগর, পাটুরিয়া, মাগুরা, ঝিনাইদহ।</t>
  </si>
  <si>
    <t>রাজশাহী-টেকনাফ ভায়া- নাটোর, বড়াইগ্রাম, নলকা, যমুনা সেতু, টাঙ্গাইল, চন্দ্রা, গাজীপুর বাইপাস, গাউছিয়া, মদনপুর, কুমিল্লা, ফেনী, চট্রগ্রাম, কক্সবাজার।</t>
  </si>
  <si>
    <t>টেকনাফ-বগুড়া ভায়া- কক্সবাজার, চট্রগ্রাম, ফেনী, কুমিল্লা, মদনপুর, গাউছিয়া, গাজীপুর বাইপাস, চন্দ্রা, টাঙ্গাইল, যমুনা সেতু, হাটিকুমরুল।</t>
  </si>
  <si>
    <t>কক্সবাজার-বাগেরহাট ভায়া- চট্রগ্রাম, ফেনী, কুমিল্লা, মদনপুর, গাউছিয়া, গাজীপুর বাইপাস, চন্দ্রা, নবীনগর, পাটুরিয়া, ফরিদপুর, মাগুড়া, আড়পাড়া, যশোর, খুলনা।</t>
  </si>
  <si>
    <t xml:space="preserve">কুষ্টিয়া-খাগড়াছড়ি ভায়া- ঝিনাইদহ, মাগুরা, ফরিদপুর, পাটুরিয়া, নবীনগর, চন্দ্রা, গাজীপুর বাইপাস, গাউছিয়া, মদনপুর, কুমিল্লা, ফেনী, রামগড়। </t>
  </si>
  <si>
    <t xml:space="preserve">কুষ্টিয়া-খাগড়াছড়ি ভায়া- রাজবাড়ী, পাটুরিয়া, নবীনগর, চন্দ্রা, গাজীপুর বাইপাস, গাউছিয়া, মদনপুর, কুমিল্লা, ফেনী, রামগড়। </t>
  </si>
  <si>
    <t>গাজীপুর (শিববাড়ী)- সিলেট ভায়া- জয়দেবপুর চৌরাস্তা, টঙ্গী, নরসিংদী, ভৈরব, ব্রাহ্মণবাড়িয়া, মাধবপুর, শায়েস্তাগঞ্জ, শেরপুর।</t>
  </si>
  <si>
    <t>গাজীপুর (শিববাড়ী)- সুনামগঞ্জ ভায়া- জয়দেবপুর চৌরাস্তা, টঙ্গী, নরসিংদী, ভৈরব, ব্রাহ্মণবাড়িয়া, শেরপুর, সিলেট।</t>
  </si>
  <si>
    <t>গাজীপুর (শিববাড়ী)- চট্টগ্রাম ভায়া- জয়দেবপুর চৌরাস্তা, টঙ্গী, কুড়িল বিশ্বরোড, সায়দাবাদ, কুমিল্লা, ফেনী।</t>
  </si>
  <si>
    <t>গাজীপুর (শিববাড়ী)- কক্সবাজার ভায়া- জয়দেবপুর চৌরাস্তা, টঙ্গী, কুড়িল বিশ্বরোড, সায়দাবাদ, কুমিল্লা, ফেনী, চট্টগ্রাম।</t>
  </si>
  <si>
    <t>বরিশাল-বেনাপোাল ভায়া- মাদারীপুর, ভাঙ্গা, মধুমতি সেতু, নড়াইল, যশোর</t>
  </si>
  <si>
    <t xml:space="preserve"> ৪০ আসন বাসে</t>
  </si>
  <si>
    <t>36 আসন বাসে</t>
  </si>
  <si>
    <t>বাস ভাড়া (আদায় যোগ্য) 
টোলসহ জনপ্রতি ভাড়া</t>
  </si>
  <si>
    <t>৫১ আসন বাসে</t>
  </si>
  <si>
    <t>৪০ আসন বাসের</t>
  </si>
  <si>
    <t xml:space="preserve">৫১ আসন বাসের </t>
  </si>
  <si>
    <t>৩৬ সিট বাসের</t>
  </si>
  <si>
    <t>জন প্রতি টোল ( 70% বোঝাই হারে)</t>
  </si>
  <si>
    <t>জন প্রতি ভাড়া ( টোল ব্যাতীত)</t>
  </si>
  <si>
    <t>ঢাকা (মহাখালী)-কিশোরগঞ্জ ভায়া- ভালুকা, ময়মনসিংহ, ঈশ্বরগঞ্জ, নান্দাইল।</t>
  </si>
  <si>
    <t>চট্রগ্রাম-রংপুর, ভায়া- ফেনী, কুমিল্লা, মদনপুর, গাউছিয়া, গাজীপুর বাইপাস, চন্দ্রা, টাঙ্গাইল, যমুনা সেতু, হাটিকুমরুল, বগুড়া।</t>
  </si>
  <si>
    <t xml:space="preserve">ঢাকা (গাবতলী)-নরসিংদী (ইটাখোলা), ভায়া- গাবতলী, মিরপুর-1, 2, 10, 12, কালশী ফ্লাইওভার, কুড়িল বিশ্বরোড, নীলামার্কেট, কাঞ্চন ব্রীজ, ভুলতা গাউছিয়া, বানটি বাজার, মাধবদী, পাঁচদোনা, সাহে প্রতাপ হয়ে নরসিংদী (ইটাখোলা) </t>
  </si>
  <si>
    <t>ঢাকা (মহাখালী)- ময়মনসিংহ, ভায়া-- ভালুকা।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</si>
</sst>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5000445]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NikoshBAN"/>
    </font>
    <font>
      <sz val="12"/>
      <color rgb="FF000000"/>
      <name val="NikoshBAN"/>
    </font>
    <font>
      <sz val="12"/>
      <name val="NikoshBAN"/>
    </font>
    <font>
      <b/>
      <sz val="11"/>
      <color theme="1"/>
      <name val="Calibri"/>
      <family val="2"/>
      <scheme val="minor"/>
    </font>
    <font>
      <b/>
      <sz val="13"/>
      <color rgb="FF000000"/>
      <name val="NikoshBAN"/>
    </font>
    <font>
      <b/>
      <sz val="13"/>
      <color theme="1"/>
      <name val="NikoshBAN"/>
    </font>
    <font>
      <b/>
      <sz val="11"/>
      <color theme="1"/>
      <name val="NikoshBAN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CE4D6"/>
        <bgColor rgb="FFFFFFFF"/>
      </patternFill>
    </fill>
    <fill>
      <patternFill patternType="solid">
        <fgColor rgb="FFFFFFFF"/>
        <bgColor rgb="FFFBE5D6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0" fillId="5" borderId="0" xfId="0" applyFill="1"/>
    <xf numFmtId="0" fontId="5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BE9B9-AB1C-438C-B1DC-F9C800E029B8}">
  <sheetPr filterMode="1"/>
  <dimension ref="A1:T467"/>
  <sheetViews>
    <sheetView tabSelected="1" topLeftCell="A79" zoomScale="85" zoomScaleNormal="85" workbookViewId="0">
      <selection activeCell="R179" sqref="R179"/>
    </sheetView>
  </sheetViews>
  <sheetFormatPr defaultRowHeight="15" x14ac:dyDescent="0.25"/>
  <cols>
    <col min="1" max="1" width="9.28515625" bestFit="1" customWidth="1"/>
    <col min="2" max="2" width="13.140625" customWidth="1"/>
    <col min="3" max="3" width="65.140625" style="11" customWidth="1"/>
    <col min="4" max="5" width="9.28515625" customWidth="1"/>
    <col min="6" max="6" width="10.42578125" customWidth="1"/>
    <col min="7" max="9" width="9.28515625" customWidth="1"/>
    <col min="10" max="10" width="10.42578125" style="19" customWidth="1"/>
    <col min="11" max="17" width="9.28515625" customWidth="1"/>
    <col min="18" max="19" width="9.28515625" bestFit="1" customWidth="1"/>
  </cols>
  <sheetData>
    <row r="1" spans="1:20" s="21" customFormat="1" ht="18" x14ac:dyDescent="0.25">
      <c r="A1" s="24" t="s">
        <v>72</v>
      </c>
      <c r="B1" s="24" t="s">
        <v>0</v>
      </c>
      <c r="C1" s="24" t="s">
        <v>39</v>
      </c>
      <c r="D1" s="24" t="s">
        <v>377</v>
      </c>
      <c r="E1" s="24" t="s">
        <v>378</v>
      </c>
      <c r="F1" s="26" t="s">
        <v>380</v>
      </c>
      <c r="G1" s="24" t="s">
        <v>514</v>
      </c>
      <c r="H1" s="24"/>
      <c r="I1" s="24"/>
      <c r="J1" s="27" t="s">
        <v>73</v>
      </c>
      <c r="K1" s="24" t="s">
        <v>379</v>
      </c>
      <c r="L1" s="24"/>
      <c r="M1" s="24"/>
      <c r="N1" s="24" t="s">
        <v>513</v>
      </c>
      <c r="O1" s="24"/>
      <c r="P1" s="24"/>
      <c r="Q1" s="24" t="s">
        <v>508</v>
      </c>
      <c r="R1" s="24"/>
      <c r="S1" s="24"/>
    </row>
    <row r="2" spans="1:20" s="23" customFormat="1" ht="54" x14ac:dyDescent="0.25">
      <c r="A2" s="24"/>
      <c r="B2" s="24"/>
      <c r="C2" s="24"/>
      <c r="D2" s="24"/>
      <c r="E2" s="24"/>
      <c r="F2" s="26"/>
      <c r="G2" s="20" t="s">
        <v>511</v>
      </c>
      <c r="H2" s="20" t="s">
        <v>510</v>
      </c>
      <c r="I2" s="20" t="s">
        <v>512</v>
      </c>
      <c r="J2" s="27"/>
      <c r="K2" s="20" t="s">
        <v>511</v>
      </c>
      <c r="L2" s="20" t="s">
        <v>510</v>
      </c>
      <c r="M2" s="20" t="s">
        <v>512</v>
      </c>
      <c r="N2" s="20" t="s">
        <v>511</v>
      </c>
      <c r="O2" s="20" t="s">
        <v>510</v>
      </c>
      <c r="P2" s="20" t="s">
        <v>512</v>
      </c>
      <c r="Q2" s="22" t="s">
        <v>509</v>
      </c>
      <c r="R2" s="22" t="s">
        <v>506</v>
      </c>
      <c r="S2" s="22" t="s">
        <v>507</v>
      </c>
    </row>
    <row r="3" spans="1:20" ht="33" hidden="1" customHeight="1" x14ac:dyDescent="0.25">
      <c r="A3" s="5">
        <v>1</v>
      </c>
      <c r="B3" s="5">
        <v>15</v>
      </c>
      <c r="C3" s="6" t="s">
        <v>518</v>
      </c>
      <c r="D3" s="5">
        <v>116</v>
      </c>
      <c r="E3" s="7">
        <v>2.23</v>
      </c>
      <c r="F3" s="7">
        <f t="shared" ref="F3:F63" si="0">D3*E3</f>
        <v>258.68</v>
      </c>
      <c r="G3" s="8">
        <f t="shared" ref="G3:G66" si="1">F3*(51/51)</f>
        <v>258.68</v>
      </c>
      <c r="H3" s="4">
        <f t="shared" ref="H3:H63" si="2">F3*(51/40)</f>
        <v>329.81700000000001</v>
      </c>
      <c r="I3" s="4">
        <f t="shared" ref="I3:I63" si="3">(F3*51)/36</f>
        <v>366.46333333333337</v>
      </c>
      <c r="J3" s="17">
        <v>0</v>
      </c>
      <c r="K3" s="7">
        <f t="shared" ref="K3:K66" si="4">51*0.7</f>
        <v>35.699999999999996</v>
      </c>
      <c r="L3" s="7">
        <f t="shared" ref="L3:L66" si="5">40*0.7</f>
        <v>28</v>
      </c>
      <c r="M3" s="7">
        <f t="shared" ref="M3:M66" si="6">36*0.7</f>
        <v>25.2</v>
      </c>
      <c r="N3" s="7">
        <f t="shared" ref="N3:N63" si="7">J3/K3</f>
        <v>0</v>
      </c>
      <c r="O3" s="7">
        <f t="shared" ref="O3:O63" si="8">J3/L3</f>
        <v>0</v>
      </c>
      <c r="P3" s="4">
        <f t="shared" ref="P3:P63" si="9">J3/M3</f>
        <v>0</v>
      </c>
      <c r="Q3" s="4">
        <f t="shared" ref="Q3:Q63" si="10">F3+N3</f>
        <v>258.68</v>
      </c>
      <c r="R3" s="4">
        <f>H3+O3</f>
        <v>329.81700000000001</v>
      </c>
      <c r="S3" s="4">
        <f>I3+P3</f>
        <v>366.46333333333337</v>
      </c>
      <c r="T3" s="25"/>
    </row>
    <row r="4" spans="1:20" ht="33" hidden="1" customHeight="1" x14ac:dyDescent="0.25">
      <c r="A4" s="5">
        <v>2</v>
      </c>
      <c r="B4" s="5">
        <v>354</v>
      </c>
      <c r="C4" s="6" t="s">
        <v>381</v>
      </c>
      <c r="D4" s="5">
        <v>186</v>
      </c>
      <c r="E4" s="7">
        <v>2.23</v>
      </c>
      <c r="F4" s="7">
        <f t="shared" si="0"/>
        <v>414.78</v>
      </c>
      <c r="G4" s="8">
        <f t="shared" si="1"/>
        <v>414.78</v>
      </c>
      <c r="H4" s="4">
        <f t="shared" si="2"/>
        <v>528.84449999999993</v>
      </c>
      <c r="I4" s="4">
        <f t="shared" si="3"/>
        <v>587.60500000000002</v>
      </c>
      <c r="J4" s="17">
        <v>0</v>
      </c>
      <c r="K4" s="7">
        <f t="shared" si="4"/>
        <v>35.699999999999996</v>
      </c>
      <c r="L4" s="7">
        <f t="shared" si="5"/>
        <v>28</v>
      </c>
      <c r="M4" s="7">
        <f t="shared" si="6"/>
        <v>25.2</v>
      </c>
      <c r="N4" s="7">
        <f t="shared" si="7"/>
        <v>0</v>
      </c>
      <c r="O4" s="7">
        <f t="shared" si="8"/>
        <v>0</v>
      </c>
      <c r="P4" s="4">
        <f t="shared" si="9"/>
        <v>0</v>
      </c>
      <c r="Q4" s="4">
        <f t="shared" si="10"/>
        <v>414.78</v>
      </c>
      <c r="R4" s="4">
        <f t="shared" ref="R4:S35" si="11">H4+O4</f>
        <v>528.84449999999993</v>
      </c>
      <c r="S4" s="4">
        <f t="shared" ref="S4:S34" si="12">I4+P4</f>
        <v>587.60500000000002</v>
      </c>
      <c r="T4" s="25"/>
    </row>
    <row r="5" spans="1:20" ht="33" hidden="1" customHeight="1" x14ac:dyDescent="0.25">
      <c r="A5" s="5">
        <v>3</v>
      </c>
      <c r="B5" s="5">
        <v>9</v>
      </c>
      <c r="C5" s="6" t="s">
        <v>76</v>
      </c>
      <c r="D5" s="5">
        <v>132</v>
      </c>
      <c r="E5" s="7">
        <v>2.23</v>
      </c>
      <c r="F5" s="7">
        <f t="shared" si="0"/>
        <v>294.36</v>
      </c>
      <c r="G5" s="8">
        <f t="shared" si="1"/>
        <v>294.36</v>
      </c>
      <c r="H5" s="4">
        <f t="shared" si="2"/>
        <v>375.30899999999997</v>
      </c>
      <c r="I5" s="4">
        <f t="shared" si="3"/>
        <v>417.01</v>
      </c>
      <c r="J5" s="17">
        <v>0</v>
      </c>
      <c r="K5" s="7">
        <f t="shared" si="4"/>
        <v>35.699999999999996</v>
      </c>
      <c r="L5" s="7">
        <f t="shared" si="5"/>
        <v>28</v>
      </c>
      <c r="M5" s="7">
        <f t="shared" si="6"/>
        <v>25.2</v>
      </c>
      <c r="N5" s="7">
        <f t="shared" si="7"/>
        <v>0</v>
      </c>
      <c r="O5" s="7">
        <f t="shared" si="8"/>
        <v>0</v>
      </c>
      <c r="P5" s="4">
        <f t="shared" si="9"/>
        <v>0</v>
      </c>
      <c r="Q5" s="4">
        <f t="shared" si="10"/>
        <v>294.36</v>
      </c>
      <c r="R5" s="4">
        <f t="shared" si="11"/>
        <v>375.30899999999997</v>
      </c>
      <c r="S5" s="4">
        <f t="shared" si="12"/>
        <v>417.01</v>
      </c>
      <c r="T5" s="25"/>
    </row>
    <row r="6" spans="1:20" ht="33" hidden="1" customHeight="1" x14ac:dyDescent="0.25">
      <c r="A6" s="5">
        <v>4</v>
      </c>
      <c r="B6" s="5">
        <v>10</v>
      </c>
      <c r="C6" s="6" t="s">
        <v>77</v>
      </c>
      <c r="D6" s="5">
        <v>136</v>
      </c>
      <c r="E6" s="7">
        <v>2.23</v>
      </c>
      <c r="F6" s="7">
        <f t="shared" si="0"/>
        <v>303.27999999999997</v>
      </c>
      <c r="G6" s="8">
        <f t="shared" si="1"/>
        <v>303.27999999999997</v>
      </c>
      <c r="H6" s="4">
        <f t="shared" si="2"/>
        <v>386.68199999999996</v>
      </c>
      <c r="I6" s="4">
        <f t="shared" si="3"/>
        <v>429.64666666666665</v>
      </c>
      <c r="J6" s="17">
        <v>0</v>
      </c>
      <c r="K6" s="7">
        <f t="shared" si="4"/>
        <v>35.699999999999996</v>
      </c>
      <c r="L6" s="7">
        <f t="shared" si="5"/>
        <v>28</v>
      </c>
      <c r="M6" s="7">
        <f t="shared" si="6"/>
        <v>25.2</v>
      </c>
      <c r="N6" s="7">
        <f t="shared" si="7"/>
        <v>0</v>
      </c>
      <c r="O6" s="7">
        <f t="shared" si="8"/>
        <v>0</v>
      </c>
      <c r="P6" s="4">
        <f t="shared" si="9"/>
        <v>0</v>
      </c>
      <c r="Q6" s="4">
        <f t="shared" si="10"/>
        <v>303.27999999999997</v>
      </c>
      <c r="R6" s="4">
        <f t="shared" si="11"/>
        <v>386.68199999999996</v>
      </c>
      <c r="S6" s="4">
        <f t="shared" si="12"/>
        <v>429.64666666666665</v>
      </c>
      <c r="T6" s="25"/>
    </row>
    <row r="7" spans="1:20" ht="33" hidden="1" customHeight="1" x14ac:dyDescent="0.25">
      <c r="A7" s="5">
        <v>5</v>
      </c>
      <c r="B7" s="5">
        <v>11</v>
      </c>
      <c r="C7" s="6" t="s">
        <v>78</v>
      </c>
      <c r="D7" s="5">
        <v>140</v>
      </c>
      <c r="E7" s="7">
        <v>2.23</v>
      </c>
      <c r="F7" s="7">
        <f t="shared" si="0"/>
        <v>312.2</v>
      </c>
      <c r="G7" s="8">
        <f t="shared" si="1"/>
        <v>312.2</v>
      </c>
      <c r="H7" s="4">
        <f t="shared" si="2"/>
        <v>398.05499999999995</v>
      </c>
      <c r="I7" s="4">
        <f t="shared" si="3"/>
        <v>442.2833333333333</v>
      </c>
      <c r="J7" s="17">
        <v>60</v>
      </c>
      <c r="K7" s="7">
        <f t="shared" si="4"/>
        <v>35.699999999999996</v>
      </c>
      <c r="L7" s="7">
        <f t="shared" si="5"/>
        <v>28</v>
      </c>
      <c r="M7" s="7">
        <f t="shared" si="6"/>
        <v>25.2</v>
      </c>
      <c r="N7" s="7">
        <f t="shared" si="7"/>
        <v>1.6806722689075633</v>
      </c>
      <c r="O7" s="7">
        <f t="shared" si="8"/>
        <v>2.1428571428571428</v>
      </c>
      <c r="P7" s="4">
        <f t="shared" si="9"/>
        <v>2.3809523809523809</v>
      </c>
      <c r="Q7" s="4">
        <f t="shared" si="10"/>
        <v>313.88067226890757</v>
      </c>
      <c r="R7" s="4">
        <f t="shared" si="11"/>
        <v>400.19785714285712</v>
      </c>
      <c r="S7" s="4">
        <f t="shared" si="12"/>
        <v>444.66428571428571</v>
      </c>
      <c r="T7" s="25"/>
    </row>
    <row r="8" spans="1:20" ht="33" hidden="1" customHeight="1" x14ac:dyDescent="0.25">
      <c r="A8" s="5">
        <v>6</v>
      </c>
      <c r="B8" s="5">
        <v>12</v>
      </c>
      <c r="C8" s="6" t="s">
        <v>79</v>
      </c>
      <c r="D8" s="5">
        <v>166</v>
      </c>
      <c r="E8" s="7">
        <v>2.23</v>
      </c>
      <c r="F8" s="7">
        <f t="shared" si="0"/>
        <v>370.18</v>
      </c>
      <c r="G8" s="8">
        <f t="shared" si="1"/>
        <v>370.18</v>
      </c>
      <c r="H8" s="4">
        <f t="shared" si="2"/>
        <v>471.97949999999997</v>
      </c>
      <c r="I8" s="4">
        <f t="shared" si="3"/>
        <v>524.42166666666662</v>
      </c>
      <c r="J8" s="17">
        <v>60</v>
      </c>
      <c r="K8" s="7">
        <f t="shared" si="4"/>
        <v>35.699999999999996</v>
      </c>
      <c r="L8" s="7">
        <f t="shared" si="5"/>
        <v>28</v>
      </c>
      <c r="M8" s="7">
        <f t="shared" si="6"/>
        <v>25.2</v>
      </c>
      <c r="N8" s="7">
        <f t="shared" si="7"/>
        <v>1.6806722689075633</v>
      </c>
      <c r="O8" s="7">
        <f t="shared" si="8"/>
        <v>2.1428571428571428</v>
      </c>
      <c r="P8" s="4">
        <f t="shared" si="9"/>
        <v>2.3809523809523809</v>
      </c>
      <c r="Q8" s="4">
        <f t="shared" si="10"/>
        <v>371.86067226890759</v>
      </c>
      <c r="R8" s="4">
        <f t="shared" si="11"/>
        <v>474.12235714285714</v>
      </c>
      <c r="S8" s="4">
        <f t="shared" si="12"/>
        <v>526.80261904761903</v>
      </c>
      <c r="T8" s="25"/>
    </row>
    <row r="9" spans="1:20" ht="33" hidden="1" customHeight="1" x14ac:dyDescent="0.25">
      <c r="A9" s="5">
        <v>7</v>
      </c>
      <c r="B9" s="5">
        <v>14</v>
      </c>
      <c r="C9" s="6" t="s">
        <v>80</v>
      </c>
      <c r="D9" s="5">
        <v>96</v>
      </c>
      <c r="E9" s="7">
        <v>2.23</v>
      </c>
      <c r="F9" s="7">
        <f t="shared" si="0"/>
        <v>214.07999999999998</v>
      </c>
      <c r="G9" s="8">
        <f t="shared" si="1"/>
        <v>214.07999999999998</v>
      </c>
      <c r="H9" s="4">
        <f t="shared" si="2"/>
        <v>272.95199999999994</v>
      </c>
      <c r="I9" s="4">
        <f t="shared" si="3"/>
        <v>303.27999999999997</v>
      </c>
      <c r="J9" s="17">
        <v>0</v>
      </c>
      <c r="K9" s="7">
        <f t="shared" si="4"/>
        <v>35.699999999999996</v>
      </c>
      <c r="L9" s="7">
        <f t="shared" si="5"/>
        <v>28</v>
      </c>
      <c r="M9" s="7">
        <f t="shared" si="6"/>
        <v>25.2</v>
      </c>
      <c r="N9" s="7">
        <f t="shared" si="7"/>
        <v>0</v>
      </c>
      <c r="O9" s="7">
        <f t="shared" si="8"/>
        <v>0</v>
      </c>
      <c r="P9" s="4">
        <f t="shared" si="9"/>
        <v>0</v>
      </c>
      <c r="Q9" s="4">
        <f t="shared" si="10"/>
        <v>214.07999999999998</v>
      </c>
      <c r="R9" s="4">
        <f t="shared" si="11"/>
        <v>272.95199999999994</v>
      </c>
      <c r="S9" s="4">
        <f t="shared" si="12"/>
        <v>303.27999999999997</v>
      </c>
      <c r="T9" s="25"/>
    </row>
    <row r="10" spans="1:20" ht="33" hidden="1" customHeight="1" x14ac:dyDescent="0.25">
      <c r="A10" s="5">
        <v>8</v>
      </c>
      <c r="B10" s="5">
        <v>222</v>
      </c>
      <c r="C10" s="6" t="s">
        <v>81</v>
      </c>
      <c r="D10" s="5">
        <v>134</v>
      </c>
      <c r="E10" s="7">
        <v>2.23</v>
      </c>
      <c r="F10" s="7">
        <f t="shared" si="0"/>
        <v>298.82</v>
      </c>
      <c r="G10" s="8">
        <f t="shared" si="1"/>
        <v>298.82</v>
      </c>
      <c r="H10" s="4">
        <f t="shared" si="2"/>
        <v>380.99549999999999</v>
      </c>
      <c r="I10" s="4">
        <f t="shared" si="3"/>
        <v>423.32833333333332</v>
      </c>
      <c r="J10" s="17">
        <v>0</v>
      </c>
      <c r="K10" s="7">
        <f t="shared" si="4"/>
        <v>35.699999999999996</v>
      </c>
      <c r="L10" s="7">
        <f t="shared" si="5"/>
        <v>28</v>
      </c>
      <c r="M10" s="7">
        <f t="shared" si="6"/>
        <v>25.2</v>
      </c>
      <c r="N10" s="7">
        <f t="shared" si="7"/>
        <v>0</v>
      </c>
      <c r="O10" s="7">
        <f t="shared" si="8"/>
        <v>0</v>
      </c>
      <c r="P10" s="4">
        <f t="shared" si="9"/>
        <v>0</v>
      </c>
      <c r="Q10" s="4">
        <f t="shared" si="10"/>
        <v>298.82</v>
      </c>
      <c r="R10" s="4">
        <f t="shared" si="11"/>
        <v>380.99549999999999</v>
      </c>
      <c r="S10" s="4">
        <f t="shared" si="12"/>
        <v>423.32833333333332</v>
      </c>
      <c r="T10" s="25"/>
    </row>
    <row r="11" spans="1:20" ht="33" hidden="1" customHeight="1" x14ac:dyDescent="0.25">
      <c r="A11" s="5">
        <v>9</v>
      </c>
      <c r="B11" s="5">
        <v>193</v>
      </c>
      <c r="C11" s="6" t="s">
        <v>82</v>
      </c>
      <c r="D11" s="5">
        <v>150</v>
      </c>
      <c r="E11" s="7">
        <v>2.23</v>
      </c>
      <c r="F11" s="7">
        <f t="shared" si="0"/>
        <v>334.5</v>
      </c>
      <c r="G11" s="8">
        <f t="shared" si="1"/>
        <v>334.5</v>
      </c>
      <c r="H11" s="4">
        <f t="shared" si="2"/>
        <v>426.48749999999995</v>
      </c>
      <c r="I11" s="4">
        <f t="shared" si="3"/>
        <v>473.875</v>
      </c>
      <c r="J11" s="17">
        <v>60</v>
      </c>
      <c r="K11" s="7">
        <f t="shared" si="4"/>
        <v>35.699999999999996</v>
      </c>
      <c r="L11" s="7">
        <f t="shared" si="5"/>
        <v>28</v>
      </c>
      <c r="M11" s="7">
        <f t="shared" si="6"/>
        <v>25.2</v>
      </c>
      <c r="N11" s="7">
        <f t="shared" si="7"/>
        <v>1.6806722689075633</v>
      </c>
      <c r="O11" s="7">
        <f t="shared" si="8"/>
        <v>2.1428571428571428</v>
      </c>
      <c r="P11" s="4">
        <f t="shared" si="9"/>
        <v>2.3809523809523809</v>
      </c>
      <c r="Q11" s="4">
        <f t="shared" si="10"/>
        <v>336.18067226890759</v>
      </c>
      <c r="R11" s="4">
        <f t="shared" si="11"/>
        <v>428.63035714285712</v>
      </c>
      <c r="S11" s="4">
        <f t="shared" si="12"/>
        <v>476.25595238095241</v>
      </c>
      <c r="T11" s="25"/>
    </row>
    <row r="12" spans="1:20" ht="33" hidden="1" customHeight="1" x14ac:dyDescent="0.25">
      <c r="A12" s="5">
        <v>10</v>
      </c>
      <c r="B12" s="5">
        <v>5</v>
      </c>
      <c r="C12" s="6" t="s">
        <v>83</v>
      </c>
      <c r="D12" s="5">
        <v>173</v>
      </c>
      <c r="E12" s="7">
        <v>2.23</v>
      </c>
      <c r="F12" s="7">
        <f t="shared" si="0"/>
        <v>385.79</v>
      </c>
      <c r="G12" s="8">
        <f t="shared" si="1"/>
        <v>385.79</v>
      </c>
      <c r="H12" s="4">
        <f t="shared" si="2"/>
        <v>491.88225</v>
      </c>
      <c r="I12" s="4">
        <f t="shared" si="3"/>
        <v>546.53583333333336</v>
      </c>
      <c r="J12" s="17">
        <v>0</v>
      </c>
      <c r="K12" s="7">
        <f t="shared" si="4"/>
        <v>35.699999999999996</v>
      </c>
      <c r="L12" s="7">
        <f t="shared" si="5"/>
        <v>28</v>
      </c>
      <c r="M12" s="7">
        <f t="shared" si="6"/>
        <v>25.2</v>
      </c>
      <c r="N12" s="7">
        <f t="shared" si="7"/>
        <v>0</v>
      </c>
      <c r="O12" s="7">
        <f t="shared" si="8"/>
        <v>0</v>
      </c>
      <c r="P12" s="4">
        <f t="shared" si="9"/>
        <v>0</v>
      </c>
      <c r="Q12" s="4">
        <f t="shared" si="10"/>
        <v>385.79</v>
      </c>
      <c r="R12" s="4">
        <f t="shared" si="11"/>
        <v>491.88225</v>
      </c>
      <c r="S12" s="4">
        <f t="shared" si="12"/>
        <v>546.53583333333336</v>
      </c>
      <c r="T12" s="25"/>
    </row>
    <row r="13" spans="1:20" ht="33" hidden="1" customHeight="1" x14ac:dyDescent="0.25">
      <c r="A13" s="5">
        <v>11</v>
      </c>
      <c r="B13" s="5">
        <v>220</v>
      </c>
      <c r="C13" s="6" t="s">
        <v>84</v>
      </c>
      <c r="D13" s="5">
        <v>202</v>
      </c>
      <c r="E13" s="7">
        <v>2.23</v>
      </c>
      <c r="F13" s="7">
        <f t="shared" si="0"/>
        <v>450.46</v>
      </c>
      <c r="G13" s="8">
        <f t="shared" si="1"/>
        <v>450.46</v>
      </c>
      <c r="H13" s="4">
        <f t="shared" si="2"/>
        <v>574.33649999999989</v>
      </c>
      <c r="I13" s="4">
        <f t="shared" si="3"/>
        <v>638.15166666666664</v>
      </c>
      <c r="J13" s="17">
        <v>60</v>
      </c>
      <c r="K13" s="7">
        <f t="shared" si="4"/>
        <v>35.699999999999996</v>
      </c>
      <c r="L13" s="7">
        <f t="shared" si="5"/>
        <v>28</v>
      </c>
      <c r="M13" s="7">
        <f t="shared" si="6"/>
        <v>25.2</v>
      </c>
      <c r="N13" s="7">
        <f t="shared" si="7"/>
        <v>1.6806722689075633</v>
      </c>
      <c r="O13" s="7">
        <f t="shared" si="8"/>
        <v>2.1428571428571428</v>
      </c>
      <c r="P13" s="4">
        <f t="shared" si="9"/>
        <v>2.3809523809523809</v>
      </c>
      <c r="Q13" s="4">
        <f t="shared" si="10"/>
        <v>452.14067226890757</v>
      </c>
      <c r="R13" s="4">
        <f t="shared" si="11"/>
        <v>576.479357142857</v>
      </c>
      <c r="S13" s="4">
        <f t="shared" si="12"/>
        <v>640.53261904761905</v>
      </c>
      <c r="T13" s="25"/>
    </row>
    <row r="14" spans="1:20" ht="33" hidden="1" customHeight="1" x14ac:dyDescent="0.25">
      <c r="A14" s="5">
        <v>12</v>
      </c>
      <c r="B14" s="5">
        <v>7</v>
      </c>
      <c r="C14" s="6" t="s">
        <v>85</v>
      </c>
      <c r="D14" s="5">
        <v>166</v>
      </c>
      <c r="E14" s="7">
        <v>2.23</v>
      </c>
      <c r="F14" s="7">
        <f t="shared" si="0"/>
        <v>370.18</v>
      </c>
      <c r="G14" s="8">
        <f t="shared" si="1"/>
        <v>370.18</v>
      </c>
      <c r="H14" s="4">
        <f t="shared" si="2"/>
        <v>471.97949999999997</v>
      </c>
      <c r="I14" s="4">
        <f t="shared" si="3"/>
        <v>524.42166666666662</v>
      </c>
      <c r="J14" s="17">
        <v>0</v>
      </c>
      <c r="K14" s="7">
        <f t="shared" si="4"/>
        <v>35.699999999999996</v>
      </c>
      <c r="L14" s="7">
        <f t="shared" si="5"/>
        <v>28</v>
      </c>
      <c r="M14" s="7">
        <f t="shared" si="6"/>
        <v>25.2</v>
      </c>
      <c r="N14" s="7">
        <f t="shared" si="7"/>
        <v>0</v>
      </c>
      <c r="O14" s="7">
        <f t="shared" si="8"/>
        <v>0</v>
      </c>
      <c r="P14" s="4">
        <f t="shared" si="9"/>
        <v>0</v>
      </c>
      <c r="Q14" s="4">
        <f t="shared" si="10"/>
        <v>370.18</v>
      </c>
      <c r="R14" s="4">
        <f t="shared" si="11"/>
        <v>471.97949999999997</v>
      </c>
      <c r="S14" s="4">
        <f t="shared" si="12"/>
        <v>524.42166666666662</v>
      </c>
      <c r="T14" s="25"/>
    </row>
    <row r="15" spans="1:20" ht="33" hidden="1" customHeight="1" x14ac:dyDescent="0.25">
      <c r="A15" s="5">
        <v>13</v>
      </c>
      <c r="B15" s="5">
        <v>140</v>
      </c>
      <c r="C15" s="6" t="s">
        <v>86</v>
      </c>
      <c r="D15" s="5">
        <v>181</v>
      </c>
      <c r="E15" s="7">
        <v>2.23</v>
      </c>
      <c r="F15" s="7">
        <f t="shared" si="0"/>
        <v>403.63</v>
      </c>
      <c r="G15" s="8">
        <f t="shared" si="1"/>
        <v>403.63</v>
      </c>
      <c r="H15" s="4">
        <f t="shared" si="2"/>
        <v>514.62824999999998</v>
      </c>
      <c r="I15" s="4">
        <f t="shared" si="3"/>
        <v>571.80916666666667</v>
      </c>
      <c r="J15" s="17">
        <v>0</v>
      </c>
      <c r="K15" s="7">
        <f t="shared" si="4"/>
        <v>35.699999999999996</v>
      </c>
      <c r="L15" s="7">
        <f t="shared" si="5"/>
        <v>28</v>
      </c>
      <c r="M15" s="7">
        <f t="shared" si="6"/>
        <v>25.2</v>
      </c>
      <c r="N15" s="7">
        <f t="shared" si="7"/>
        <v>0</v>
      </c>
      <c r="O15" s="7">
        <f t="shared" si="8"/>
        <v>0</v>
      </c>
      <c r="P15" s="4">
        <f t="shared" si="9"/>
        <v>0</v>
      </c>
      <c r="Q15" s="4">
        <f t="shared" si="10"/>
        <v>403.63</v>
      </c>
      <c r="R15" s="4">
        <f t="shared" si="11"/>
        <v>514.62824999999998</v>
      </c>
      <c r="S15" s="4">
        <f t="shared" si="12"/>
        <v>571.80916666666667</v>
      </c>
      <c r="T15" s="25"/>
    </row>
    <row r="16" spans="1:20" ht="33" hidden="1" customHeight="1" x14ac:dyDescent="0.25">
      <c r="A16" s="5">
        <v>14</v>
      </c>
      <c r="B16" s="5">
        <v>8</v>
      </c>
      <c r="C16" s="6" t="s">
        <v>87</v>
      </c>
      <c r="D16" s="5">
        <v>183</v>
      </c>
      <c r="E16" s="7">
        <v>2.23</v>
      </c>
      <c r="F16" s="7">
        <f t="shared" si="0"/>
        <v>408.09</v>
      </c>
      <c r="G16" s="8">
        <f t="shared" si="1"/>
        <v>408.09</v>
      </c>
      <c r="H16" s="4">
        <f t="shared" si="2"/>
        <v>520.31474999999989</v>
      </c>
      <c r="I16" s="4">
        <f t="shared" si="3"/>
        <v>578.12750000000005</v>
      </c>
      <c r="J16" s="17">
        <v>0</v>
      </c>
      <c r="K16" s="7">
        <f t="shared" si="4"/>
        <v>35.699999999999996</v>
      </c>
      <c r="L16" s="7">
        <f t="shared" si="5"/>
        <v>28</v>
      </c>
      <c r="M16" s="7">
        <f t="shared" si="6"/>
        <v>25.2</v>
      </c>
      <c r="N16" s="7">
        <f t="shared" si="7"/>
        <v>0</v>
      </c>
      <c r="O16" s="7">
        <f t="shared" si="8"/>
        <v>0</v>
      </c>
      <c r="P16" s="4">
        <f t="shared" si="9"/>
        <v>0</v>
      </c>
      <c r="Q16" s="4">
        <f t="shared" si="10"/>
        <v>408.09</v>
      </c>
      <c r="R16" s="4">
        <f t="shared" si="11"/>
        <v>520.31474999999989</v>
      </c>
      <c r="S16" s="4">
        <f t="shared" si="12"/>
        <v>578.12750000000005</v>
      </c>
      <c r="T16" s="25"/>
    </row>
    <row r="17" spans="1:20" ht="33" hidden="1" customHeight="1" x14ac:dyDescent="0.25">
      <c r="A17" s="5">
        <v>15</v>
      </c>
      <c r="B17" s="5">
        <v>16</v>
      </c>
      <c r="C17" s="6" t="s">
        <v>88</v>
      </c>
      <c r="D17" s="5">
        <v>155</v>
      </c>
      <c r="E17" s="7">
        <v>2.23</v>
      </c>
      <c r="F17" s="7">
        <f t="shared" si="0"/>
        <v>345.65</v>
      </c>
      <c r="G17" s="8">
        <f t="shared" si="1"/>
        <v>345.65</v>
      </c>
      <c r="H17" s="4">
        <f t="shared" si="2"/>
        <v>440.70374999999996</v>
      </c>
      <c r="I17" s="4">
        <f t="shared" si="3"/>
        <v>489.67083333333329</v>
      </c>
      <c r="J17" s="17">
        <v>60</v>
      </c>
      <c r="K17" s="7">
        <f t="shared" si="4"/>
        <v>35.699999999999996</v>
      </c>
      <c r="L17" s="7">
        <f t="shared" si="5"/>
        <v>28</v>
      </c>
      <c r="M17" s="7">
        <f t="shared" si="6"/>
        <v>25.2</v>
      </c>
      <c r="N17" s="7">
        <f t="shared" si="7"/>
        <v>1.6806722689075633</v>
      </c>
      <c r="O17" s="7">
        <f t="shared" si="8"/>
        <v>2.1428571428571428</v>
      </c>
      <c r="P17" s="4">
        <f t="shared" si="9"/>
        <v>2.3809523809523809</v>
      </c>
      <c r="Q17" s="4">
        <f t="shared" si="10"/>
        <v>347.33067226890756</v>
      </c>
      <c r="R17" s="4">
        <f t="shared" si="11"/>
        <v>442.84660714285712</v>
      </c>
      <c r="S17" s="4">
        <f t="shared" si="12"/>
        <v>492.0517857142857</v>
      </c>
      <c r="T17" s="25"/>
    </row>
    <row r="18" spans="1:20" ht="33" hidden="1" customHeight="1" x14ac:dyDescent="0.25">
      <c r="A18" s="5">
        <v>16</v>
      </c>
      <c r="B18" s="5">
        <v>13</v>
      </c>
      <c r="C18" s="6" t="s">
        <v>89</v>
      </c>
      <c r="D18" s="5">
        <v>186</v>
      </c>
      <c r="E18" s="7">
        <v>2.23</v>
      </c>
      <c r="F18" s="7">
        <f t="shared" si="0"/>
        <v>414.78</v>
      </c>
      <c r="G18" s="8">
        <f t="shared" si="1"/>
        <v>414.78</v>
      </c>
      <c r="H18" s="4">
        <f t="shared" si="2"/>
        <v>528.84449999999993</v>
      </c>
      <c r="I18" s="4">
        <f t="shared" si="3"/>
        <v>587.60500000000002</v>
      </c>
      <c r="J18" s="17">
        <v>60</v>
      </c>
      <c r="K18" s="7">
        <f t="shared" si="4"/>
        <v>35.699999999999996</v>
      </c>
      <c r="L18" s="7">
        <f t="shared" si="5"/>
        <v>28</v>
      </c>
      <c r="M18" s="7">
        <f t="shared" si="6"/>
        <v>25.2</v>
      </c>
      <c r="N18" s="7">
        <f t="shared" si="7"/>
        <v>1.6806722689075633</v>
      </c>
      <c r="O18" s="7">
        <f t="shared" si="8"/>
        <v>2.1428571428571428</v>
      </c>
      <c r="P18" s="4">
        <f t="shared" si="9"/>
        <v>2.3809523809523809</v>
      </c>
      <c r="Q18" s="4">
        <f t="shared" si="10"/>
        <v>416.46067226890756</v>
      </c>
      <c r="R18" s="4">
        <f t="shared" si="11"/>
        <v>530.98735714285704</v>
      </c>
      <c r="S18" s="4">
        <f t="shared" si="12"/>
        <v>589.98595238095243</v>
      </c>
      <c r="T18" s="25"/>
    </row>
    <row r="19" spans="1:20" ht="33" hidden="1" customHeight="1" x14ac:dyDescent="0.25">
      <c r="A19" s="5">
        <v>17</v>
      </c>
      <c r="B19" s="5">
        <v>378</v>
      </c>
      <c r="C19" s="6" t="s">
        <v>90</v>
      </c>
      <c r="D19" s="5">
        <v>153</v>
      </c>
      <c r="E19" s="7">
        <v>2.23</v>
      </c>
      <c r="F19" s="7">
        <f t="shared" si="0"/>
        <v>341.19</v>
      </c>
      <c r="G19" s="8">
        <f t="shared" si="1"/>
        <v>341.19</v>
      </c>
      <c r="H19" s="4">
        <f t="shared" si="2"/>
        <v>435.01724999999999</v>
      </c>
      <c r="I19" s="4">
        <f t="shared" si="3"/>
        <v>483.35249999999996</v>
      </c>
      <c r="J19" s="17">
        <v>75</v>
      </c>
      <c r="K19" s="7">
        <f t="shared" si="4"/>
        <v>35.699999999999996</v>
      </c>
      <c r="L19" s="7">
        <f t="shared" si="5"/>
        <v>28</v>
      </c>
      <c r="M19" s="7">
        <f t="shared" si="6"/>
        <v>25.2</v>
      </c>
      <c r="N19" s="7">
        <f t="shared" si="7"/>
        <v>2.1008403361344539</v>
      </c>
      <c r="O19" s="7">
        <f t="shared" si="8"/>
        <v>2.6785714285714284</v>
      </c>
      <c r="P19" s="4">
        <f t="shared" si="9"/>
        <v>2.9761904761904763</v>
      </c>
      <c r="Q19" s="4">
        <f t="shared" si="10"/>
        <v>343.29084033613447</v>
      </c>
      <c r="R19" s="4">
        <f t="shared" si="11"/>
        <v>437.69582142857143</v>
      </c>
      <c r="S19" s="4">
        <f t="shared" si="12"/>
        <v>486.32869047619045</v>
      </c>
      <c r="T19" s="25"/>
    </row>
    <row r="20" spans="1:20" ht="33" hidden="1" customHeight="1" x14ac:dyDescent="0.25">
      <c r="A20" s="5">
        <v>18</v>
      </c>
      <c r="B20" s="5">
        <v>218</v>
      </c>
      <c r="C20" s="6" t="s">
        <v>91</v>
      </c>
      <c r="D20" s="5">
        <v>168</v>
      </c>
      <c r="E20" s="7">
        <v>2.23</v>
      </c>
      <c r="F20" s="7">
        <f t="shared" si="0"/>
        <v>374.64</v>
      </c>
      <c r="G20" s="8">
        <f t="shared" si="1"/>
        <v>374.64</v>
      </c>
      <c r="H20" s="4">
        <f t="shared" si="2"/>
        <v>477.66599999999994</v>
      </c>
      <c r="I20" s="4">
        <f t="shared" si="3"/>
        <v>530.74</v>
      </c>
      <c r="J20" s="17">
        <v>60</v>
      </c>
      <c r="K20" s="7">
        <f t="shared" si="4"/>
        <v>35.699999999999996</v>
      </c>
      <c r="L20" s="7">
        <f t="shared" si="5"/>
        <v>28</v>
      </c>
      <c r="M20" s="7">
        <f t="shared" si="6"/>
        <v>25.2</v>
      </c>
      <c r="N20" s="7">
        <f t="shared" si="7"/>
        <v>1.6806722689075633</v>
      </c>
      <c r="O20" s="7">
        <f t="shared" si="8"/>
        <v>2.1428571428571428</v>
      </c>
      <c r="P20" s="4">
        <f t="shared" si="9"/>
        <v>2.3809523809523809</v>
      </c>
      <c r="Q20" s="4">
        <f t="shared" si="10"/>
        <v>376.32067226890757</v>
      </c>
      <c r="R20" s="4">
        <f t="shared" si="11"/>
        <v>479.80885714285711</v>
      </c>
      <c r="S20" s="4">
        <f t="shared" si="12"/>
        <v>533.12095238095242</v>
      </c>
      <c r="T20" s="25"/>
    </row>
    <row r="21" spans="1:20" ht="33" hidden="1" customHeight="1" x14ac:dyDescent="0.25">
      <c r="A21" s="5">
        <v>19</v>
      </c>
      <c r="B21" s="5">
        <v>17</v>
      </c>
      <c r="C21" s="6" t="s">
        <v>92</v>
      </c>
      <c r="D21" s="5">
        <v>227</v>
      </c>
      <c r="E21" s="7">
        <v>2.23</v>
      </c>
      <c r="F21" s="7">
        <f t="shared" si="0"/>
        <v>506.21</v>
      </c>
      <c r="G21" s="8">
        <f t="shared" si="1"/>
        <v>506.21</v>
      </c>
      <c r="H21" s="4">
        <f t="shared" si="2"/>
        <v>645.41774999999996</v>
      </c>
      <c r="I21" s="4">
        <f t="shared" si="3"/>
        <v>717.13083333333327</v>
      </c>
      <c r="J21" s="17">
        <v>60</v>
      </c>
      <c r="K21" s="7">
        <f t="shared" si="4"/>
        <v>35.699999999999996</v>
      </c>
      <c r="L21" s="7">
        <f t="shared" si="5"/>
        <v>28</v>
      </c>
      <c r="M21" s="7">
        <f t="shared" si="6"/>
        <v>25.2</v>
      </c>
      <c r="N21" s="7">
        <f t="shared" si="7"/>
        <v>1.6806722689075633</v>
      </c>
      <c r="O21" s="7">
        <f t="shared" si="8"/>
        <v>2.1428571428571428</v>
      </c>
      <c r="P21" s="4">
        <f t="shared" si="9"/>
        <v>2.3809523809523809</v>
      </c>
      <c r="Q21" s="4">
        <f t="shared" si="10"/>
        <v>507.89067226890757</v>
      </c>
      <c r="R21" s="4">
        <f t="shared" si="11"/>
        <v>647.56060714285707</v>
      </c>
      <c r="S21" s="4">
        <f t="shared" si="12"/>
        <v>719.51178571428568</v>
      </c>
      <c r="T21" s="25"/>
    </row>
    <row r="22" spans="1:20" ht="33" hidden="1" customHeight="1" x14ac:dyDescent="0.25">
      <c r="A22" s="5">
        <v>20</v>
      </c>
      <c r="B22" s="5">
        <v>219</v>
      </c>
      <c r="C22" s="6" t="s">
        <v>93</v>
      </c>
      <c r="D22" s="5">
        <v>188</v>
      </c>
      <c r="E22" s="7">
        <v>2.23</v>
      </c>
      <c r="F22" s="7">
        <f t="shared" si="0"/>
        <v>419.24</v>
      </c>
      <c r="G22" s="8">
        <f t="shared" si="1"/>
        <v>419.24</v>
      </c>
      <c r="H22" s="4">
        <f t="shared" si="2"/>
        <v>534.53099999999995</v>
      </c>
      <c r="I22" s="4">
        <f t="shared" si="3"/>
        <v>593.9233333333334</v>
      </c>
      <c r="J22" s="17">
        <v>60</v>
      </c>
      <c r="K22" s="7">
        <f t="shared" si="4"/>
        <v>35.699999999999996</v>
      </c>
      <c r="L22" s="7">
        <f t="shared" si="5"/>
        <v>28</v>
      </c>
      <c r="M22" s="7">
        <f t="shared" si="6"/>
        <v>25.2</v>
      </c>
      <c r="N22" s="7">
        <f t="shared" si="7"/>
        <v>1.6806722689075633</v>
      </c>
      <c r="O22" s="7">
        <f t="shared" si="8"/>
        <v>2.1428571428571428</v>
      </c>
      <c r="P22" s="4">
        <f t="shared" si="9"/>
        <v>2.3809523809523809</v>
      </c>
      <c r="Q22" s="4">
        <f t="shared" si="10"/>
        <v>420.92067226890759</v>
      </c>
      <c r="R22" s="4">
        <f t="shared" si="11"/>
        <v>536.67385714285706</v>
      </c>
      <c r="S22" s="4">
        <f t="shared" si="12"/>
        <v>596.30428571428581</v>
      </c>
      <c r="T22" s="25"/>
    </row>
    <row r="23" spans="1:20" ht="33" hidden="1" customHeight="1" x14ac:dyDescent="0.25">
      <c r="A23" s="5">
        <v>21</v>
      </c>
      <c r="B23" s="5">
        <v>223</v>
      </c>
      <c r="C23" s="6" t="s">
        <v>94</v>
      </c>
      <c r="D23" s="5">
        <v>183</v>
      </c>
      <c r="E23" s="7">
        <v>2.23</v>
      </c>
      <c r="F23" s="7">
        <f t="shared" si="0"/>
        <v>408.09</v>
      </c>
      <c r="G23" s="8">
        <f t="shared" si="1"/>
        <v>408.09</v>
      </c>
      <c r="H23" s="4">
        <f t="shared" si="2"/>
        <v>520.31474999999989</v>
      </c>
      <c r="I23" s="4">
        <f t="shared" si="3"/>
        <v>578.12750000000005</v>
      </c>
      <c r="J23" s="17">
        <v>60</v>
      </c>
      <c r="K23" s="7">
        <f t="shared" si="4"/>
        <v>35.699999999999996</v>
      </c>
      <c r="L23" s="7">
        <f t="shared" si="5"/>
        <v>28</v>
      </c>
      <c r="M23" s="7">
        <f t="shared" si="6"/>
        <v>25.2</v>
      </c>
      <c r="N23" s="7">
        <f t="shared" si="7"/>
        <v>1.6806722689075633</v>
      </c>
      <c r="O23" s="7">
        <f t="shared" si="8"/>
        <v>2.1428571428571428</v>
      </c>
      <c r="P23" s="4">
        <f t="shared" si="9"/>
        <v>2.3809523809523809</v>
      </c>
      <c r="Q23" s="4">
        <f t="shared" si="10"/>
        <v>409.77067226890756</v>
      </c>
      <c r="R23" s="4">
        <f t="shared" si="11"/>
        <v>522.457607142857</v>
      </c>
      <c r="S23" s="4">
        <f t="shared" si="12"/>
        <v>580.50845238095246</v>
      </c>
      <c r="T23" s="25"/>
    </row>
    <row r="24" spans="1:20" ht="33" hidden="1" customHeight="1" x14ac:dyDescent="0.25">
      <c r="A24" s="5">
        <v>22</v>
      </c>
      <c r="B24" s="5">
        <v>104</v>
      </c>
      <c r="C24" s="6" t="s">
        <v>95</v>
      </c>
      <c r="D24" s="5">
        <v>220</v>
      </c>
      <c r="E24" s="7">
        <v>2.23</v>
      </c>
      <c r="F24" s="7">
        <f t="shared" si="0"/>
        <v>490.6</v>
      </c>
      <c r="G24" s="8">
        <f t="shared" si="1"/>
        <v>490.6</v>
      </c>
      <c r="H24" s="4">
        <f t="shared" si="2"/>
        <v>625.51499999999999</v>
      </c>
      <c r="I24" s="4">
        <f t="shared" si="3"/>
        <v>695.01666666666677</v>
      </c>
      <c r="J24" s="17">
        <v>60</v>
      </c>
      <c r="K24" s="7">
        <f t="shared" si="4"/>
        <v>35.699999999999996</v>
      </c>
      <c r="L24" s="7">
        <f t="shared" si="5"/>
        <v>28</v>
      </c>
      <c r="M24" s="7">
        <f t="shared" si="6"/>
        <v>25.2</v>
      </c>
      <c r="N24" s="7">
        <f t="shared" si="7"/>
        <v>1.6806722689075633</v>
      </c>
      <c r="O24" s="7">
        <f t="shared" si="8"/>
        <v>2.1428571428571428</v>
      </c>
      <c r="P24" s="4">
        <f t="shared" si="9"/>
        <v>2.3809523809523809</v>
      </c>
      <c r="Q24" s="4">
        <f t="shared" si="10"/>
        <v>492.28067226890761</v>
      </c>
      <c r="R24" s="4">
        <f t="shared" si="11"/>
        <v>627.6578571428571</v>
      </c>
      <c r="S24" s="4">
        <f t="shared" si="12"/>
        <v>697.39761904761917</v>
      </c>
      <c r="T24" s="25"/>
    </row>
    <row r="25" spans="1:20" ht="33" hidden="1" customHeight="1" x14ac:dyDescent="0.25">
      <c r="A25" s="5">
        <v>23</v>
      </c>
      <c r="B25" s="5">
        <v>349</v>
      </c>
      <c r="C25" s="6" t="s">
        <v>96</v>
      </c>
      <c r="D25" s="5">
        <v>192</v>
      </c>
      <c r="E25" s="7">
        <v>2.23</v>
      </c>
      <c r="F25" s="7">
        <f t="shared" si="0"/>
        <v>428.15999999999997</v>
      </c>
      <c r="G25" s="8">
        <f t="shared" si="1"/>
        <v>428.15999999999997</v>
      </c>
      <c r="H25" s="4">
        <f t="shared" si="2"/>
        <v>545.90399999999988</v>
      </c>
      <c r="I25" s="4">
        <f t="shared" si="3"/>
        <v>606.55999999999995</v>
      </c>
      <c r="J25" s="17">
        <v>0</v>
      </c>
      <c r="K25" s="7">
        <f t="shared" si="4"/>
        <v>35.699999999999996</v>
      </c>
      <c r="L25" s="7">
        <f t="shared" si="5"/>
        <v>28</v>
      </c>
      <c r="M25" s="7">
        <f t="shared" si="6"/>
        <v>25.2</v>
      </c>
      <c r="N25" s="7">
        <f t="shared" si="7"/>
        <v>0</v>
      </c>
      <c r="O25" s="7">
        <f t="shared" si="8"/>
        <v>0</v>
      </c>
      <c r="P25" s="4">
        <f t="shared" si="9"/>
        <v>0</v>
      </c>
      <c r="Q25" s="4">
        <f t="shared" si="10"/>
        <v>428.15999999999997</v>
      </c>
      <c r="R25" s="4">
        <f t="shared" si="11"/>
        <v>545.90399999999988</v>
      </c>
      <c r="S25" s="4">
        <f t="shared" si="12"/>
        <v>606.55999999999995</v>
      </c>
      <c r="T25" s="25"/>
    </row>
    <row r="26" spans="1:20" ht="33" hidden="1" customHeight="1" x14ac:dyDescent="0.25">
      <c r="A26" s="5">
        <v>24</v>
      </c>
      <c r="B26" s="5">
        <v>303</v>
      </c>
      <c r="C26" s="6" t="s">
        <v>97</v>
      </c>
      <c r="D26" s="5">
        <v>252</v>
      </c>
      <c r="E26" s="7">
        <v>2.23</v>
      </c>
      <c r="F26" s="7">
        <f t="shared" si="0"/>
        <v>561.96</v>
      </c>
      <c r="G26" s="8">
        <f t="shared" si="1"/>
        <v>561.96</v>
      </c>
      <c r="H26" s="4">
        <f t="shared" si="2"/>
        <v>716.49900000000002</v>
      </c>
      <c r="I26" s="4">
        <f t="shared" si="3"/>
        <v>796.11000000000013</v>
      </c>
      <c r="J26" s="17">
        <v>1050</v>
      </c>
      <c r="K26" s="7">
        <f t="shared" si="4"/>
        <v>35.699999999999996</v>
      </c>
      <c r="L26" s="7">
        <f t="shared" si="5"/>
        <v>28</v>
      </c>
      <c r="M26" s="7">
        <f t="shared" si="6"/>
        <v>25.2</v>
      </c>
      <c r="N26" s="7">
        <f t="shared" si="7"/>
        <v>29.411764705882355</v>
      </c>
      <c r="O26" s="7">
        <f t="shared" si="8"/>
        <v>37.5</v>
      </c>
      <c r="P26" s="4">
        <f t="shared" si="9"/>
        <v>41.666666666666664</v>
      </c>
      <c r="Q26" s="4">
        <f t="shared" si="10"/>
        <v>591.37176470588236</v>
      </c>
      <c r="R26" s="4">
        <f t="shared" si="11"/>
        <v>753.99900000000002</v>
      </c>
      <c r="S26" s="4">
        <f t="shared" si="12"/>
        <v>837.77666666666676</v>
      </c>
      <c r="T26" s="25"/>
    </row>
    <row r="27" spans="1:20" ht="33" hidden="1" customHeight="1" x14ac:dyDescent="0.25">
      <c r="A27" s="5">
        <v>25</v>
      </c>
      <c r="B27" s="5">
        <v>379</v>
      </c>
      <c r="C27" s="6" t="s">
        <v>98</v>
      </c>
      <c r="D27" s="5">
        <v>267</v>
      </c>
      <c r="E27" s="7">
        <v>2.23</v>
      </c>
      <c r="F27" s="7">
        <f t="shared" si="0"/>
        <v>595.41</v>
      </c>
      <c r="G27" s="8">
        <f t="shared" si="1"/>
        <v>595.41</v>
      </c>
      <c r="H27" s="4">
        <f t="shared" si="2"/>
        <v>759.14774999999986</v>
      </c>
      <c r="I27" s="4">
        <f t="shared" si="3"/>
        <v>843.49749999999995</v>
      </c>
      <c r="J27" s="17">
        <v>1050</v>
      </c>
      <c r="K27" s="7">
        <f t="shared" si="4"/>
        <v>35.699999999999996</v>
      </c>
      <c r="L27" s="7">
        <f t="shared" si="5"/>
        <v>28</v>
      </c>
      <c r="M27" s="7">
        <f t="shared" si="6"/>
        <v>25.2</v>
      </c>
      <c r="N27" s="7">
        <f t="shared" si="7"/>
        <v>29.411764705882355</v>
      </c>
      <c r="O27" s="7">
        <f t="shared" si="8"/>
        <v>37.5</v>
      </c>
      <c r="P27" s="4">
        <f t="shared" si="9"/>
        <v>41.666666666666664</v>
      </c>
      <c r="Q27" s="4">
        <f t="shared" si="10"/>
        <v>624.82176470588229</v>
      </c>
      <c r="R27" s="4">
        <f t="shared" si="11"/>
        <v>796.64774999999986</v>
      </c>
      <c r="S27" s="4">
        <f t="shared" si="12"/>
        <v>885.16416666666657</v>
      </c>
      <c r="T27" s="25"/>
    </row>
    <row r="28" spans="1:20" ht="33" hidden="1" customHeight="1" x14ac:dyDescent="0.25">
      <c r="A28" s="5">
        <v>26</v>
      </c>
      <c r="B28" s="5">
        <v>300</v>
      </c>
      <c r="C28" s="6" t="s">
        <v>99</v>
      </c>
      <c r="D28" s="5">
        <v>192</v>
      </c>
      <c r="E28" s="7">
        <v>2.23</v>
      </c>
      <c r="F28" s="7">
        <f t="shared" si="0"/>
        <v>428.15999999999997</v>
      </c>
      <c r="G28" s="8">
        <f t="shared" si="1"/>
        <v>428.15999999999997</v>
      </c>
      <c r="H28" s="4">
        <f t="shared" si="2"/>
        <v>545.90399999999988</v>
      </c>
      <c r="I28" s="4">
        <f t="shared" si="3"/>
        <v>606.55999999999995</v>
      </c>
      <c r="J28" s="17">
        <v>1000</v>
      </c>
      <c r="K28" s="7">
        <f t="shared" si="4"/>
        <v>35.699999999999996</v>
      </c>
      <c r="L28" s="7">
        <f t="shared" si="5"/>
        <v>28</v>
      </c>
      <c r="M28" s="7">
        <f t="shared" si="6"/>
        <v>25.2</v>
      </c>
      <c r="N28" s="7">
        <f t="shared" si="7"/>
        <v>28.011204481792721</v>
      </c>
      <c r="O28" s="7">
        <f t="shared" si="8"/>
        <v>35.714285714285715</v>
      </c>
      <c r="P28" s="4">
        <f t="shared" si="9"/>
        <v>39.682539682539684</v>
      </c>
      <c r="Q28" s="4">
        <f t="shared" si="10"/>
        <v>456.1712044817927</v>
      </c>
      <c r="R28" s="4">
        <f t="shared" si="11"/>
        <v>581.61828571428555</v>
      </c>
      <c r="S28" s="4">
        <f t="shared" si="12"/>
        <v>646.24253968253959</v>
      </c>
      <c r="T28" s="25"/>
    </row>
    <row r="29" spans="1:20" ht="33" hidden="1" customHeight="1" x14ac:dyDescent="0.25">
      <c r="A29" s="5">
        <v>27</v>
      </c>
      <c r="B29" s="5">
        <v>301</v>
      </c>
      <c r="C29" s="6" t="s">
        <v>100</v>
      </c>
      <c r="D29" s="5">
        <v>128</v>
      </c>
      <c r="E29" s="7">
        <v>2.23</v>
      </c>
      <c r="F29" s="7">
        <f t="shared" si="0"/>
        <v>285.44</v>
      </c>
      <c r="G29" s="8">
        <f t="shared" si="1"/>
        <v>285.44</v>
      </c>
      <c r="H29" s="4">
        <f t="shared" si="2"/>
        <v>363.93599999999998</v>
      </c>
      <c r="I29" s="4">
        <f t="shared" si="3"/>
        <v>404.37333333333333</v>
      </c>
      <c r="J29" s="17">
        <v>1000</v>
      </c>
      <c r="K29" s="7">
        <f t="shared" si="4"/>
        <v>35.699999999999996</v>
      </c>
      <c r="L29" s="7">
        <f t="shared" si="5"/>
        <v>28</v>
      </c>
      <c r="M29" s="7">
        <f t="shared" si="6"/>
        <v>25.2</v>
      </c>
      <c r="N29" s="7">
        <f t="shared" si="7"/>
        <v>28.011204481792721</v>
      </c>
      <c r="O29" s="7">
        <f t="shared" si="8"/>
        <v>35.714285714285715</v>
      </c>
      <c r="P29" s="4">
        <f t="shared" si="9"/>
        <v>39.682539682539684</v>
      </c>
      <c r="Q29" s="4">
        <f t="shared" si="10"/>
        <v>313.45120448179273</v>
      </c>
      <c r="R29" s="4">
        <f t="shared" si="11"/>
        <v>399.6502857142857</v>
      </c>
      <c r="S29" s="4">
        <f t="shared" si="12"/>
        <v>444.05587301587303</v>
      </c>
      <c r="T29" s="25"/>
    </row>
    <row r="30" spans="1:20" ht="33" hidden="1" customHeight="1" x14ac:dyDescent="0.25">
      <c r="A30" s="5">
        <v>28</v>
      </c>
      <c r="B30" s="5">
        <v>302</v>
      </c>
      <c r="C30" s="6" t="s">
        <v>101</v>
      </c>
      <c r="D30" s="5">
        <v>242</v>
      </c>
      <c r="E30" s="7">
        <v>2.23</v>
      </c>
      <c r="F30" s="7">
        <f t="shared" si="0"/>
        <v>539.66</v>
      </c>
      <c r="G30" s="8">
        <f t="shared" si="1"/>
        <v>539.66</v>
      </c>
      <c r="H30" s="4">
        <f t="shared" si="2"/>
        <v>688.06649999999991</v>
      </c>
      <c r="I30" s="4">
        <f t="shared" si="3"/>
        <v>764.51833333333332</v>
      </c>
      <c r="J30" s="17">
        <v>1000</v>
      </c>
      <c r="K30" s="7">
        <f t="shared" si="4"/>
        <v>35.699999999999996</v>
      </c>
      <c r="L30" s="7">
        <f t="shared" si="5"/>
        <v>28</v>
      </c>
      <c r="M30" s="7">
        <f t="shared" si="6"/>
        <v>25.2</v>
      </c>
      <c r="N30" s="7">
        <f t="shared" si="7"/>
        <v>28.011204481792721</v>
      </c>
      <c r="O30" s="7">
        <f t="shared" si="8"/>
        <v>35.714285714285715</v>
      </c>
      <c r="P30" s="4">
        <f t="shared" si="9"/>
        <v>39.682539682539684</v>
      </c>
      <c r="Q30" s="4">
        <f t="shared" si="10"/>
        <v>567.67120448179264</v>
      </c>
      <c r="R30" s="4">
        <f t="shared" si="11"/>
        <v>723.78078571428557</v>
      </c>
      <c r="S30" s="4">
        <f t="shared" si="12"/>
        <v>804.20087301587296</v>
      </c>
      <c r="T30" s="25"/>
    </row>
    <row r="31" spans="1:20" ht="33" hidden="1" customHeight="1" x14ac:dyDescent="0.25">
      <c r="A31" s="5">
        <v>29</v>
      </c>
      <c r="B31" s="5">
        <v>305</v>
      </c>
      <c r="C31" s="6" t="s">
        <v>102</v>
      </c>
      <c r="D31" s="5">
        <v>297</v>
      </c>
      <c r="E31" s="7">
        <v>2.23</v>
      </c>
      <c r="F31" s="7">
        <f t="shared" si="0"/>
        <v>662.31</v>
      </c>
      <c r="G31" s="8">
        <f t="shared" si="1"/>
        <v>662.31</v>
      </c>
      <c r="H31" s="4">
        <f t="shared" si="2"/>
        <v>844.44524999999987</v>
      </c>
      <c r="I31" s="4">
        <f t="shared" si="3"/>
        <v>938.27249999999992</v>
      </c>
      <c r="J31" s="17">
        <v>1050</v>
      </c>
      <c r="K31" s="7">
        <f t="shared" si="4"/>
        <v>35.699999999999996</v>
      </c>
      <c r="L31" s="7">
        <f t="shared" si="5"/>
        <v>28</v>
      </c>
      <c r="M31" s="7">
        <f t="shared" si="6"/>
        <v>25.2</v>
      </c>
      <c r="N31" s="7">
        <f t="shared" si="7"/>
        <v>29.411764705882355</v>
      </c>
      <c r="O31" s="7">
        <f t="shared" si="8"/>
        <v>37.5</v>
      </c>
      <c r="P31" s="4">
        <f t="shared" si="9"/>
        <v>41.666666666666664</v>
      </c>
      <c r="Q31" s="4">
        <f t="shared" si="10"/>
        <v>691.72176470588226</v>
      </c>
      <c r="R31" s="4">
        <f t="shared" si="11"/>
        <v>881.94524999999987</v>
      </c>
      <c r="S31" s="4">
        <f t="shared" si="12"/>
        <v>979.93916666666655</v>
      </c>
      <c r="T31" s="25"/>
    </row>
    <row r="32" spans="1:20" ht="33" hidden="1" customHeight="1" x14ac:dyDescent="0.25">
      <c r="A32" s="5">
        <v>30</v>
      </c>
      <c r="B32" s="5">
        <v>311</v>
      </c>
      <c r="C32" s="6" t="s">
        <v>103</v>
      </c>
      <c r="D32" s="5">
        <v>235</v>
      </c>
      <c r="E32" s="7">
        <v>2.23</v>
      </c>
      <c r="F32" s="7">
        <f t="shared" si="0"/>
        <v>524.04999999999995</v>
      </c>
      <c r="G32" s="8">
        <f t="shared" si="1"/>
        <v>524.04999999999995</v>
      </c>
      <c r="H32" s="4">
        <f t="shared" si="2"/>
        <v>668.16374999999994</v>
      </c>
      <c r="I32" s="4">
        <f t="shared" si="3"/>
        <v>742.4041666666667</v>
      </c>
      <c r="J32" s="17">
        <v>1000</v>
      </c>
      <c r="K32" s="7">
        <f t="shared" si="4"/>
        <v>35.699999999999996</v>
      </c>
      <c r="L32" s="7">
        <f t="shared" si="5"/>
        <v>28</v>
      </c>
      <c r="M32" s="7">
        <f t="shared" si="6"/>
        <v>25.2</v>
      </c>
      <c r="N32" s="7">
        <f t="shared" si="7"/>
        <v>28.011204481792721</v>
      </c>
      <c r="O32" s="7">
        <f t="shared" si="8"/>
        <v>35.714285714285715</v>
      </c>
      <c r="P32" s="4">
        <f t="shared" si="9"/>
        <v>39.682539682539684</v>
      </c>
      <c r="Q32" s="4">
        <f t="shared" si="10"/>
        <v>552.06120448179263</v>
      </c>
      <c r="R32" s="4">
        <f t="shared" si="11"/>
        <v>703.8780357142856</v>
      </c>
      <c r="S32" s="4">
        <f t="shared" si="12"/>
        <v>782.08670634920634</v>
      </c>
      <c r="T32" s="25"/>
    </row>
    <row r="33" spans="1:20" ht="33" hidden="1" customHeight="1" x14ac:dyDescent="0.25">
      <c r="A33" s="5">
        <v>31</v>
      </c>
      <c r="B33" s="5">
        <v>348</v>
      </c>
      <c r="C33" s="6" t="s">
        <v>104</v>
      </c>
      <c r="D33" s="5">
        <v>247</v>
      </c>
      <c r="E33" s="7">
        <v>2.23</v>
      </c>
      <c r="F33" s="7">
        <f t="shared" si="0"/>
        <v>550.80999999999995</v>
      </c>
      <c r="G33" s="8">
        <f t="shared" si="1"/>
        <v>550.80999999999995</v>
      </c>
      <c r="H33" s="4">
        <f t="shared" si="2"/>
        <v>702.28274999999985</v>
      </c>
      <c r="I33" s="4">
        <f t="shared" si="3"/>
        <v>780.31416666666655</v>
      </c>
      <c r="J33" s="17">
        <v>1000</v>
      </c>
      <c r="K33" s="7">
        <f t="shared" si="4"/>
        <v>35.699999999999996</v>
      </c>
      <c r="L33" s="7">
        <f t="shared" si="5"/>
        <v>28</v>
      </c>
      <c r="M33" s="7">
        <f t="shared" si="6"/>
        <v>25.2</v>
      </c>
      <c r="N33" s="7">
        <f t="shared" si="7"/>
        <v>28.011204481792721</v>
      </c>
      <c r="O33" s="7">
        <f t="shared" si="8"/>
        <v>35.714285714285715</v>
      </c>
      <c r="P33" s="4">
        <f t="shared" si="9"/>
        <v>39.682539682539684</v>
      </c>
      <c r="Q33" s="4">
        <f t="shared" si="10"/>
        <v>578.82120448179262</v>
      </c>
      <c r="R33" s="4">
        <f t="shared" si="11"/>
        <v>737.99703571428552</v>
      </c>
      <c r="S33" s="4">
        <f t="shared" si="12"/>
        <v>819.99670634920619</v>
      </c>
      <c r="T33" s="25"/>
    </row>
    <row r="34" spans="1:20" ht="33" hidden="1" customHeight="1" x14ac:dyDescent="0.25">
      <c r="A34" s="5">
        <v>32</v>
      </c>
      <c r="B34" s="5">
        <v>309</v>
      </c>
      <c r="C34" s="6" t="s">
        <v>105</v>
      </c>
      <c r="D34" s="5">
        <v>297</v>
      </c>
      <c r="E34" s="7">
        <v>2.23</v>
      </c>
      <c r="F34" s="7">
        <f t="shared" si="0"/>
        <v>662.31</v>
      </c>
      <c r="G34" s="8">
        <f t="shared" si="1"/>
        <v>662.31</v>
      </c>
      <c r="H34" s="4">
        <f t="shared" si="2"/>
        <v>844.44524999999987</v>
      </c>
      <c r="I34" s="4">
        <f t="shared" si="3"/>
        <v>938.27249999999992</v>
      </c>
      <c r="J34" s="17">
        <v>1000</v>
      </c>
      <c r="K34" s="7">
        <f t="shared" si="4"/>
        <v>35.699999999999996</v>
      </c>
      <c r="L34" s="7">
        <f t="shared" si="5"/>
        <v>28</v>
      </c>
      <c r="M34" s="7">
        <f t="shared" si="6"/>
        <v>25.2</v>
      </c>
      <c r="N34" s="7">
        <f t="shared" si="7"/>
        <v>28.011204481792721</v>
      </c>
      <c r="O34" s="7">
        <f t="shared" si="8"/>
        <v>35.714285714285715</v>
      </c>
      <c r="P34" s="4">
        <f t="shared" si="9"/>
        <v>39.682539682539684</v>
      </c>
      <c r="Q34" s="4">
        <f t="shared" si="10"/>
        <v>690.32120448179262</v>
      </c>
      <c r="R34" s="4">
        <f t="shared" si="11"/>
        <v>880.15953571428554</v>
      </c>
      <c r="S34" s="4">
        <f t="shared" si="12"/>
        <v>977.95503968253956</v>
      </c>
      <c r="T34" s="25"/>
    </row>
    <row r="35" spans="1:20" ht="33" hidden="1" customHeight="1" x14ac:dyDescent="0.25">
      <c r="A35" s="5">
        <v>33</v>
      </c>
      <c r="B35" s="5">
        <v>422</v>
      </c>
      <c r="C35" s="6" t="s">
        <v>382</v>
      </c>
      <c r="D35" s="5">
        <v>297</v>
      </c>
      <c r="E35" s="7">
        <v>2.23</v>
      </c>
      <c r="F35" s="7">
        <f t="shared" si="0"/>
        <v>662.31</v>
      </c>
      <c r="G35" s="8">
        <f t="shared" si="1"/>
        <v>662.31</v>
      </c>
      <c r="H35" s="4">
        <f t="shared" si="2"/>
        <v>844.44524999999987</v>
      </c>
      <c r="I35" s="4">
        <f t="shared" si="3"/>
        <v>938.27249999999992</v>
      </c>
      <c r="J35" s="17">
        <v>1000</v>
      </c>
      <c r="K35" s="7">
        <f t="shared" si="4"/>
        <v>35.699999999999996</v>
      </c>
      <c r="L35" s="7">
        <f t="shared" si="5"/>
        <v>28</v>
      </c>
      <c r="M35" s="7">
        <f t="shared" si="6"/>
        <v>25.2</v>
      </c>
      <c r="N35" s="7">
        <f t="shared" si="7"/>
        <v>28.011204481792721</v>
      </c>
      <c r="O35" s="7">
        <f t="shared" si="8"/>
        <v>35.714285714285715</v>
      </c>
      <c r="P35" s="4">
        <f t="shared" si="9"/>
        <v>39.682539682539684</v>
      </c>
      <c r="Q35" s="4">
        <f t="shared" si="10"/>
        <v>690.32120448179262</v>
      </c>
      <c r="R35" s="4">
        <f t="shared" si="11"/>
        <v>880.15953571428554</v>
      </c>
      <c r="S35" s="4">
        <f t="shared" si="11"/>
        <v>977.95503968253956</v>
      </c>
      <c r="T35" s="25"/>
    </row>
    <row r="36" spans="1:20" ht="33" hidden="1" customHeight="1" x14ac:dyDescent="0.25">
      <c r="A36" s="5">
        <v>34</v>
      </c>
      <c r="B36" s="5">
        <v>304</v>
      </c>
      <c r="C36" s="6" t="s">
        <v>106</v>
      </c>
      <c r="D36" s="5">
        <v>389</v>
      </c>
      <c r="E36" s="7">
        <v>2.23</v>
      </c>
      <c r="F36" s="7">
        <f t="shared" si="0"/>
        <v>867.47</v>
      </c>
      <c r="G36" s="8">
        <f t="shared" si="1"/>
        <v>867.47</v>
      </c>
      <c r="H36" s="4">
        <f t="shared" si="2"/>
        <v>1106.0242499999999</v>
      </c>
      <c r="I36" s="4">
        <f t="shared" si="3"/>
        <v>1228.9158333333335</v>
      </c>
      <c r="J36" s="17">
        <v>1000</v>
      </c>
      <c r="K36" s="7">
        <f t="shared" si="4"/>
        <v>35.699999999999996</v>
      </c>
      <c r="L36" s="7">
        <f t="shared" si="5"/>
        <v>28</v>
      </c>
      <c r="M36" s="7">
        <f t="shared" si="6"/>
        <v>25.2</v>
      </c>
      <c r="N36" s="7">
        <f t="shared" si="7"/>
        <v>28.011204481792721</v>
      </c>
      <c r="O36" s="7">
        <f t="shared" si="8"/>
        <v>35.714285714285715</v>
      </c>
      <c r="P36" s="4">
        <f t="shared" si="9"/>
        <v>39.682539682539684</v>
      </c>
      <c r="Q36" s="4">
        <f t="shared" si="10"/>
        <v>895.4812044817927</v>
      </c>
      <c r="R36" s="4">
        <f t="shared" ref="R36:S63" si="13">H36+O36</f>
        <v>1141.7385357142857</v>
      </c>
      <c r="S36" s="4">
        <f t="shared" si="13"/>
        <v>1268.5983730158732</v>
      </c>
      <c r="T36" s="25"/>
    </row>
    <row r="37" spans="1:20" ht="33" hidden="1" customHeight="1" x14ac:dyDescent="0.25">
      <c r="A37" s="5">
        <v>35</v>
      </c>
      <c r="B37" s="5">
        <v>306</v>
      </c>
      <c r="C37" s="6" t="s">
        <v>107</v>
      </c>
      <c r="D37" s="5">
        <v>330</v>
      </c>
      <c r="E37" s="7">
        <v>2.23</v>
      </c>
      <c r="F37" s="7">
        <f t="shared" si="0"/>
        <v>735.9</v>
      </c>
      <c r="G37" s="8">
        <f t="shared" si="1"/>
        <v>735.9</v>
      </c>
      <c r="H37" s="4">
        <f t="shared" si="2"/>
        <v>938.27249999999992</v>
      </c>
      <c r="I37" s="4">
        <f t="shared" si="3"/>
        <v>1042.5250000000001</v>
      </c>
      <c r="J37" s="17">
        <v>1000</v>
      </c>
      <c r="K37" s="7">
        <f t="shared" si="4"/>
        <v>35.699999999999996</v>
      </c>
      <c r="L37" s="7">
        <f t="shared" si="5"/>
        <v>28</v>
      </c>
      <c r="M37" s="7">
        <f t="shared" si="6"/>
        <v>25.2</v>
      </c>
      <c r="N37" s="7">
        <f t="shared" si="7"/>
        <v>28.011204481792721</v>
      </c>
      <c r="O37" s="7">
        <f t="shared" si="8"/>
        <v>35.714285714285715</v>
      </c>
      <c r="P37" s="4">
        <f t="shared" si="9"/>
        <v>39.682539682539684</v>
      </c>
      <c r="Q37" s="4">
        <f t="shared" si="10"/>
        <v>763.91120448179265</v>
      </c>
      <c r="R37" s="4">
        <f t="shared" si="13"/>
        <v>973.98678571428559</v>
      </c>
      <c r="S37" s="4">
        <f t="shared" si="13"/>
        <v>1082.2075396825398</v>
      </c>
      <c r="T37" s="25"/>
    </row>
    <row r="38" spans="1:20" ht="33" hidden="1" customHeight="1" x14ac:dyDescent="0.25">
      <c r="A38" s="5">
        <v>36</v>
      </c>
      <c r="B38" s="5">
        <v>307</v>
      </c>
      <c r="C38" s="6" t="s">
        <v>108</v>
      </c>
      <c r="D38" s="5">
        <v>425</v>
      </c>
      <c r="E38" s="7">
        <v>2.23</v>
      </c>
      <c r="F38" s="7">
        <f t="shared" si="0"/>
        <v>947.75</v>
      </c>
      <c r="G38" s="8">
        <f t="shared" si="1"/>
        <v>947.75</v>
      </c>
      <c r="H38" s="4">
        <f t="shared" si="2"/>
        <v>1208.3812499999999</v>
      </c>
      <c r="I38" s="4">
        <f t="shared" si="3"/>
        <v>1342.6458333333333</v>
      </c>
      <c r="J38" s="17">
        <v>1000</v>
      </c>
      <c r="K38" s="7">
        <f t="shared" si="4"/>
        <v>35.699999999999996</v>
      </c>
      <c r="L38" s="7">
        <f t="shared" si="5"/>
        <v>28</v>
      </c>
      <c r="M38" s="7">
        <f t="shared" si="6"/>
        <v>25.2</v>
      </c>
      <c r="N38" s="7">
        <f t="shared" si="7"/>
        <v>28.011204481792721</v>
      </c>
      <c r="O38" s="7">
        <f t="shared" si="8"/>
        <v>35.714285714285715</v>
      </c>
      <c r="P38" s="4">
        <f t="shared" si="9"/>
        <v>39.682539682539684</v>
      </c>
      <c r="Q38" s="4">
        <f t="shared" si="10"/>
        <v>975.76120448179267</v>
      </c>
      <c r="R38" s="4">
        <f t="shared" si="13"/>
        <v>1244.0955357142857</v>
      </c>
      <c r="S38" s="4">
        <f t="shared" si="13"/>
        <v>1382.328373015873</v>
      </c>
      <c r="T38" s="25"/>
    </row>
    <row r="39" spans="1:20" ht="33" hidden="1" customHeight="1" x14ac:dyDescent="0.25">
      <c r="A39" s="5">
        <v>37</v>
      </c>
      <c r="B39" s="5">
        <v>308</v>
      </c>
      <c r="C39" s="6" t="s">
        <v>109</v>
      </c>
      <c r="D39" s="5">
        <v>341</v>
      </c>
      <c r="E39" s="7">
        <v>2.23</v>
      </c>
      <c r="F39" s="7">
        <f t="shared" si="0"/>
        <v>760.43</v>
      </c>
      <c r="G39" s="8">
        <f t="shared" si="1"/>
        <v>760.43</v>
      </c>
      <c r="H39" s="4">
        <f t="shared" si="2"/>
        <v>969.54824999999983</v>
      </c>
      <c r="I39" s="4">
        <f t="shared" si="3"/>
        <v>1077.2758333333334</v>
      </c>
      <c r="J39" s="17">
        <v>1000</v>
      </c>
      <c r="K39" s="7">
        <f t="shared" si="4"/>
        <v>35.699999999999996</v>
      </c>
      <c r="L39" s="7">
        <f t="shared" si="5"/>
        <v>28</v>
      </c>
      <c r="M39" s="7">
        <f t="shared" si="6"/>
        <v>25.2</v>
      </c>
      <c r="N39" s="7">
        <f t="shared" si="7"/>
        <v>28.011204481792721</v>
      </c>
      <c r="O39" s="7">
        <f t="shared" si="8"/>
        <v>35.714285714285715</v>
      </c>
      <c r="P39" s="4">
        <f t="shared" si="9"/>
        <v>39.682539682539684</v>
      </c>
      <c r="Q39" s="4">
        <f t="shared" si="10"/>
        <v>788.44120448179262</v>
      </c>
      <c r="R39" s="4">
        <f t="shared" si="13"/>
        <v>1005.2625357142855</v>
      </c>
      <c r="S39" s="4">
        <f t="shared" si="13"/>
        <v>1116.9583730158731</v>
      </c>
      <c r="T39" s="25"/>
    </row>
    <row r="40" spans="1:20" ht="33" hidden="1" customHeight="1" x14ac:dyDescent="0.25">
      <c r="A40" s="5">
        <v>38</v>
      </c>
      <c r="B40" s="5">
        <v>316</v>
      </c>
      <c r="C40" s="6" t="s">
        <v>110</v>
      </c>
      <c r="D40" s="5">
        <v>374</v>
      </c>
      <c r="E40" s="7">
        <v>2.23</v>
      </c>
      <c r="F40" s="7">
        <f t="shared" si="0"/>
        <v>834.02</v>
      </c>
      <c r="G40" s="8">
        <f t="shared" si="1"/>
        <v>834.02</v>
      </c>
      <c r="H40" s="4">
        <f t="shared" si="2"/>
        <v>1063.3754999999999</v>
      </c>
      <c r="I40" s="4">
        <f t="shared" si="3"/>
        <v>1181.5283333333332</v>
      </c>
      <c r="J40" s="17">
        <v>1000</v>
      </c>
      <c r="K40" s="7">
        <f t="shared" si="4"/>
        <v>35.699999999999996</v>
      </c>
      <c r="L40" s="7">
        <f t="shared" si="5"/>
        <v>28</v>
      </c>
      <c r="M40" s="7">
        <f t="shared" si="6"/>
        <v>25.2</v>
      </c>
      <c r="N40" s="7">
        <f t="shared" si="7"/>
        <v>28.011204481792721</v>
      </c>
      <c r="O40" s="7">
        <f t="shared" si="8"/>
        <v>35.714285714285715</v>
      </c>
      <c r="P40" s="4">
        <f t="shared" si="9"/>
        <v>39.682539682539684</v>
      </c>
      <c r="Q40" s="4">
        <f t="shared" si="10"/>
        <v>862.03120448179266</v>
      </c>
      <c r="R40" s="4">
        <f t="shared" si="13"/>
        <v>1099.0897857142857</v>
      </c>
      <c r="S40" s="4">
        <f t="shared" si="13"/>
        <v>1221.2108730158729</v>
      </c>
      <c r="T40" s="25"/>
    </row>
    <row r="41" spans="1:20" ht="33" hidden="1" customHeight="1" x14ac:dyDescent="0.25">
      <c r="A41" s="5">
        <v>39</v>
      </c>
      <c r="B41" s="5">
        <v>331</v>
      </c>
      <c r="C41" s="6" t="s">
        <v>111</v>
      </c>
      <c r="D41" s="5">
        <v>195</v>
      </c>
      <c r="E41" s="7">
        <v>2.23</v>
      </c>
      <c r="F41" s="7">
        <f t="shared" si="0"/>
        <v>434.85</v>
      </c>
      <c r="G41" s="8">
        <f t="shared" si="1"/>
        <v>434.85</v>
      </c>
      <c r="H41" s="4">
        <f t="shared" si="2"/>
        <v>554.43375000000003</v>
      </c>
      <c r="I41" s="4">
        <f t="shared" si="3"/>
        <v>616.03750000000002</v>
      </c>
      <c r="J41" s="17">
        <v>60</v>
      </c>
      <c r="K41" s="7">
        <f t="shared" si="4"/>
        <v>35.699999999999996</v>
      </c>
      <c r="L41" s="7">
        <f t="shared" si="5"/>
        <v>28</v>
      </c>
      <c r="M41" s="7">
        <f t="shared" si="6"/>
        <v>25.2</v>
      </c>
      <c r="N41" s="7">
        <f t="shared" si="7"/>
        <v>1.6806722689075633</v>
      </c>
      <c r="O41" s="7">
        <f t="shared" si="8"/>
        <v>2.1428571428571428</v>
      </c>
      <c r="P41" s="4">
        <f t="shared" si="9"/>
        <v>2.3809523809523809</v>
      </c>
      <c r="Q41" s="4">
        <f t="shared" si="10"/>
        <v>436.53067226890761</v>
      </c>
      <c r="R41" s="4">
        <f t="shared" si="13"/>
        <v>556.57660714285714</v>
      </c>
      <c r="S41" s="4">
        <f t="shared" si="13"/>
        <v>618.41845238095243</v>
      </c>
      <c r="T41" s="25"/>
    </row>
    <row r="42" spans="1:20" ht="33" hidden="1" customHeight="1" x14ac:dyDescent="0.25">
      <c r="A42" s="5">
        <v>40</v>
      </c>
      <c r="B42" s="5">
        <v>310</v>
      </c>
      <c r="C42" s="6" t="s">
        <v>112</v>
      </c>
      <c r="D42" s="5">
        <v>257</v>
      </c>
      <c r="E42" s="7">
        <v>2.23</v>
      </c>
      <c r="F42" s="7">
        <f t="shared" si="0"/>
        <v>573.11</v>
      </c>
      <c r="G42" s="8">
        <f t="shared" si="1"/>
        <v>573.11</v>
      </c>
      <c r="H42" s="4">
        <f t="shared" si="2"/>
        <v>730.71524999999997</v>
      </c>
      <c r="I42" s="4">
        <f t="shared" si="3"/>
        <v>811.90583333333336</v>
      </c>
      <c r="J42" s="17">
        <v>1000</v>
      </c>
      <c r="K42" s="7">
        <f t="shared" si="4"/>
        <v>35.699999999999996</v>
      </c>
      <c r="L42" s="7">
        <f t="shared" si="5"/>
        <v>28</v>
      </c>
      <c r="M42" s="7">
        <f t="shared" si="6"/>
        <v>25.2</v>
      </c>
      <c r="N42" s="7">
        <f t="shared" si="7"/>
        <v>28.011204481792721</v>
      </c>
      <c r="O42" s="7">
        <f t="shared" si="8"/>
        <v>35.714285714285715</v>
      </c>
      <c r="P42" s="4">
        <f t="shared" si="9"/>
        <v>39.682539682539684</v>
      </c>
      <c r="Q42" s="4">
        <f t="shared" si="10"/>
        <v>601.12120448179269</v>
      </c>
      <c r="R42" s="4">
        <f t="shared" si="13"/>
        <v>766.42953571428563</v>
      </c>
      <c r="S42" s="4">
        <f t="shared" si="13"/>
        <v>851.588373015873</v>
      </c>
      <c r="T42" s="25"/>
    </row>
    <row r="43" spans="1:20" ht="33" hidden="1" customHeight="1" x14ac:dyDescent="0.25">
      <c r="A43" s="5">
        <v>41</v>
      </c>
      <c r="B43" s="5">
        <v>312</v>
      </c>
      <c r="C43" s="6" t="s">
        <v>113</v>
      </c>
      <c r="D43" s="5">
        <v>234</v>
      </c>
      <c r="E43" s="7">
        <v>2.23</v>
      </c>
      <c r="F43" s="7">
        <f t="shared" si="0"/>
        <v>521.82000000000005</v>
      </c>
      <c r="G43" s="8">
        <f t="shared" si="1"/>
        <v>521.82000000000005</v>
      </c>
      <c r="H43" s="4">
        <f t="shared" si="2"/>
        <v>665.32050000000004</v>
      </c>
      <c r="I43" s="4">
        <f t="shared" si="3"/>
        <v>739.24500000000012</v>
      </c>
      <c r="J43" s="17">
        <v>1000</v>
      </c>
      <c r="K43" s="7">
        <f t="shared" si="4"/>
        <v>35.699999999999996</v>
      </c>
      <c r="L43" s="7">
        <f t="shared" si="5"/>
        <v>28</v>
      </c>
      <c r="M43" s="7">
        <f t="shared" si="6"/>
        <v>25.2</v>
      </c>
      <c r="N43" s="7">
        <f t="shared" si="7"/>
        <v>28.011204481792721</v>
      </c>
      <c r="O43" s="7">
        <f t="shared" si="8"/>
        <v>35.714285714285715</v>
      </c>
      <c r="P43" s="4">
        <f t="shared" si="9"/>
        <v>39.682539682539684</v>
      </c>
      <c r="Q43" s="4">
        <f t="shared" si="10"/>
        <v>549.83120448179272</v>
      </c>
      <c r="R43" s="4">
        <f t="shared" si="13"/>
        <v>701.0347857142857</v>
      </c>
      <c r="S43" s="4">
        <f t="shared" si="13"/>
        <v>778.92753968253976</v>
      </c>
      <c r="T43" s="25"/>
    </row>
    <row r="44" spans="1:20" ht="33" hidden="1" customHeight="1" x14ac:dyDescent="0.25">
      <c r="A44" s="5">
        <v>42</v>
      </c>
      <c r="B44" s="5">
        <v>313</v>
      </c>
      <c r="C44" s="6" t="s">
        <v>114</v>
      </c>
      <c r="D44" s="5">
        <v>340</v>
      </c>
      <c r="E44" s="7">
        <v>2.23</v>
      </c>
      <c r="F44" s="7">
        <f t="shared" si="0"/>
        <v>758.2</v>
      </c>
      <c r="G44" s="8">
        <f t="shared" si="1"/>
        <v>758.2</v>
      </c>
      <c r="H44" s="4">
        <f t="shared" si="2"/>
        <v>966.70500000000004</v>
      </c>
      <c r="I44" s="4">
        <f t="shared" si="3"/>
        <v>1074.1166666666668</v>
      </c>
      <c r="J44" s="17">
        <v>1000</v>
      </c>
      <c r="K44" s="7">
        <f t="shared" si="4"/>
        <v>35.699999999999996</v>
      </c>
      <c r="L44" s="7">
        <f t="shared" si="5"/>
        <v>28</v>
      </c>
      <c r="M44" s="7">
        <f t="shared" si="6"/>
        <v>25.2</v>
      </c>
      <c r="N44" s="7">
        <f t="shared" si="7"/>
        <v>28.011204481792721</v>
      </c>
      <c r="O44" s="7">
        <f t="shared" si="8"/>
        <v>35.714285714285715</v>
      </c>
      <c r="P44" s="4">
        <f t="shared" si="9"/>
        <v>39.682539682539684</v>
      </c>
      <c r="Q44" s="4">
        <f t="shared" si="10"/>
        <v>786.21120448179272</v>
      </c>
      <c r="R44" s="4">
        <f t="shared" si="13"/>
        <v>1002.4192857142857</v>
      </c>
      <c r="S44" s="4">
        <f t="shared" si="13"/>
        <v>1113.7992063492065</v>
      </c>
      <c r="T44" s="25"/>
    </row>
    <row r="45" spans="1:20" ht="33" hidden="1" customHeight="1" x14ac:dyDescent="0.25">
      <c r="A45" s="5">
        <v>43</v>
      </c>
      <c r="B45" s="5">
        <v>314</v>
      </c>
      <c r="C45" s="6" t="s">
        <v>115</v>
      </c>
      <c r="D45" s="5">
        <v>357</v>
      </c>
      <c r="E45" s="7">
        <v>2.23</v>
      </c>
      <c r="F45" s="7">
        <f t="shared" si="0"/>
        <v>796.11</v>
      </c>
      <c r="G45" s="8">
        <f t="shared" si="1"/>
        <v>796.11</v>
      </c>
      <c r="H45" s="4">
        <f t="shared" si="2"/>
        <v>1015.0402499999999</v>
      </c>
      <c r="I45" s="4">
        <f t="shared" si="3"/>
        <v>1127.8225</v>
      </c>
      <c r="J45" s="17">
        <v>1000</v>
      </c>
      <c r="K45" s="7">
        <f t="shared" si="4"/>
        <v>35.699999999999996</v>
      </c>
      <c r="L45" s="7">
        <f t="shared" si="5"/>
        <v>28</v>
      </c>
      <c r="M45" s="7">
        <f t="shared" si="6"/>
        <v>25.2</v>
      </c>
      <c r="N45" s="7">
        <f t="shared" si="7"/>
        <v>28.011204481792721</v>
      </c>
      <c r="O45" s="7">
        <f t="shared" si="8"/>
        <v>35.714285714285715</v>
      </c>
      <c r="P45" s="4">
        <f t="shared" si="9"/>
        <v>39.682539682539684</v>
      </c>
      <c r="Q45" s="4">
        <f t="shared" si="10"/>
        <v>824.12120448179269</v>
      </c>
      <c r="R45" s="4">
        <f t="shared" si="13"/>
        <v>1050.7545357142856</v>
      </c>
      <c r="S45" s="4">
        <f t="shared" si="13"/>
        <v>1167.5050396825397</v>
      </c>
      <c r="T45" s="25"/>
    </row>
    <row r="46" spans="1:20" ht="33" hidden="1" customHeight="1" x14ac:dyDescent="0.25">
      <c r="A46" s="5">
        <v>44</v>
      </c>
      <c r="B46" s="5">
        <v>315</v>
      </c>
      <c r="C46" s="6" t="s">
        <v>116</v>
      </c>
      <c r="D46" s="5">
        <v>384</v>
      </c>
      <c r="E46" s="7">
        <v>2.23</v>
      </c>
      <c r="F46" s="7">
        <f t="shared" si="0"/>
        <v>856.31999999999994</v>
      </c>
      <c r="G46" s="8">
        <f t="shared" si="1"/>
        <v>856.31999999999994</v>
      </c>
      <c r="H46" s="4">
        <f t="shared" si="2"/>
        <v>1091.8079999999998</v>
      </c>
      <c r="I46" s="4">
        <f t="shared" si="3"/>
        <v>1213.1199999999999</v>
      </c>
      <c r="J46" s="17">
        <v>1000</v>
      </c>
      <c r="K46" s="7">
        <f t="shared" si="4"/>
        <v>35.699999999999996</v>
      </c>
      <c r="L46" s="7">
        <f t="shared" si="5"/>
        <v>28</v>
      </c>
      <c r="M46" s="7">
        <f t="shared" si="6"/>
        <v>25.2</v>
      </c>
      <c r="N46" s="7">
        <f t="shared" si="7"/>
        <v>28.011204481792721</v>
      </c>
      <c r="O46" s="7">
        <f t="shared" si="8"/>
        <v>35.714285714285715</v>
      </c>
      <c r="P46" s="4">
        <f t="shared" si="9"/>
        <v>39.682539682539684</v>
      </c>
      <c r="Q46" s="4">
        <f t="shared" si="10"/>
        <v>884.33120448179261</v>
      </c>
      <c r="R46" s="4">
        <f t="shared" si="13"/>
        <v>1127.5222857142855</v>
      </c>
      <c r="S46" s="4">
        <f t="shared" si="13"/>
        <v>1252.8025396825396</v>
      </c>
      <c r="T46" s="25"/>
    </row>
    <row r="47" spans="1:20" ht="33" hidden="1" customHeight="1" x14ac:dyDescent="0.25">
      <c r="A47" s="5">
        <v>45</v>
      </c>
      <c r="B47" s="5">
        <v>387</v>
      </c>
      <c r="C47" s="6" t="s">
        <v>383</v>
      </c>
      <c r="D47" s="5">
        <v>265</v>
      </c>
      <c r="E47" s="7">
        <v>2.23</v>
      </c>
      <c r="F47" s="7">
        <f t="shared" si="0"/>
        <v>590.95000000000005</v>
      </c>
      <c r="G47" s="8">
        <f t="shared" si="1"/>
        <v>590.95000000000005</v>
      </c>
      <c r="H47" s="4">
        <f t="shared" si="2"/>
        <v>753.46124999999995</v>
      </c>
      <c r="I47" s="4">
        <f t="shared" si="3"/>
        <v>837.17916666666667</v>
      </c>
      <c r="J47" s="17">
        <v>1000</v>
      </c>
      <c r="K47" s="7">
        <f t="shared" si="4"/>
        <v>35.699999999999996</v>
      </c>
      <c r="L47" s="7">
        <f t="shared" si="5"/>
        <v>28</v>
      </c>
      <c r="M47" s="7">
        <f t="shared" si="6"/>
        <v>25.2</v>
      </c>
      <c r="N47" s="7">
        <f t="shared" si="7"/>
        <v>28.011204481792721</v>
      </c>
      <c r="O47" s="7">
        <f t="shared" si="8"/>
        <v>35.714285714285715</v>
      </c>
      <c r="P47" s="4">
        <f t="shared" si="9"/>
        <v>39.682539682539684</v>
      </c>
      <c r="Q47" s="4">
        <f t="shared" si="10"/>
        <v>618.96120448179272</v>
      </c>
      <c r="R47" s="4">
        <f t="shared" si="13"/>
        <v>789.17553571428562</v>
      </c>
      <c r="S47" s="4">
        <f t="shared" si="13"/>
        <v>876.86170634920632</v>
      </c>
      <c r="T47" s="25"/>
    </row>
    <row r="48" spans="1:20" ht="33" hidden="1" customHeight="1" x14ac:dyDescent="0.25">
      <c r="A48" s="5">
        <v>46</v>
      </c>
      <c r="B48" s="5">
        <v>388</v>
      </c>
      <c r="C48" s="6" t="s">
        <v>117</v>
      </c>
      <c r="D48" s="5">
        <v>280</v>
      </c>
      <c r="E48" s="7">
        <v>2.23</v>
      </c>
      <c r="F48" s="7">
        <f t="shared" si="0"/>
        <v>624.4</v>
      </c>
      <c r="G48" s="8">
        <f t="shared" si="1"/>
        <v>624.4</v>
      </c>
      <c r="H48" s="4">
        <f t="shared" si="2"/>
        <v>796.1099999999999</v>
      </c>
      <c r="I48" s="4">
        <f t="shared" si="3"/>
        <v>884.56666666666661</v>
      </c>
      <c r="J48" s="17">
        <v>60</v>
      </c>
      <c r="K48" s="7">
        <f t="shared" si="4"/>
        <v>35.699999999999996</v>
      </c>
      <c r="L48" s="7">
        <f t="shared" si="5"/>
        <v>28</v>
      </c>
      <c r="M48" s="7">
        <f t="shared" si="6"/>
        <v>25.2</v>
      </c>
      <c r="N48" s="7">
        <f t="shared" si="7"/>
        <v>1.6806722689075633</v>
      </c>
      <c r="O48" s="7">
        <f t="shared" si="8"/>
        <v>2.1428571428571428</v>
      </c>
      <c r="P48" s="4">
        <f t="shared" si="9"/>
        <v>2.3809523809523809</v>
      </c>
      <c r="Q48" s="4">
        <f t="shared" si="10"/>
        <v>626.08067226890751</v>
      </c>
      <c r="R48" s="4">
        <f t="shared" si="13"/>
        <v>798.25285714285701</v>
      </c>
      <c r="S48" s="4">
        <f t="shared" si="13"/>
        <v>886.94761904761901</v>
      </c>
      <c r="T48" s="25"/>
    </row>
    <row r="49" spans="1:20" ht="33" hidden="1" customHeight="1" x14ac:dyDescent="0.25">
      <c r="A49" s="5">
        <v>47</v>
      </c>
      <c r="B49" s="5">
        <v>419</v>
      </c>
      <c r="C49" s="6" t="s">
        <v>384</v>
      </c>
      <c r="D49" s="5">
        <v>340</v>
      </c>
      <c r="E49" s="7">
        <v>2.23</v>
      </c>
      <c r="F49" s="7">
        <f t="shared" si="0"/>
        <v>758.2</v>
      </c>
      <c r="G49" s="8">
        <f t="shared" si="1"/>
        <v>758.2</v>
      </c>
      <c r="H49" s="4">
        <f t="shared" si="2"/>
        <v>966.70500000000004</v>
      </c>
      <c r="I49" s="4">
        <f t="shared" si="3"/>
        <v>1074.1166666666668</v>
      </c>
      <c r="J49" s="17">
        <v>1000</v>
      </c>
      <c r="K49" s="7">
        <f t="shared" si="4"/>
        <v>35.699999999999996</v>
      </c>
      <c r="L49" s="7">
        <f t="shared" si="5"/>
        <v>28</v>
      </c>
      <c r="M49" s="7">
        <f t="shared" si="6"/>
        <v>25.2</v>
      </c>
      <c r="N49" s="7">
        <f t="shared" si="7"/>
        <v>28.011204481792721</v>
      </c>
      <c r="O49" s="7">
        <f t="shared" si="8"/>
        <v>35.714285714285715</v>
      </c>
      <c r="P49" s="4">
        <f t="shared" si="9"/>
        <v>39.682539682539684</v>
      </c>
      <c r="Q49" s="4">
        <f t="shared" si="10"/>
        <v>786.21120448179272</v>
      </c>
      <c r="R49" s="4">
        <f t="shared" si="13"/>
        <v>1002.4192857142857</v>
      </c>
      <c r="S49" s="4">
        <f t="shared" si="13"/>
        <v>1113.7992063492065</v>
      </c>
      <c r="T49" s="25"/>
    </row>
    <row r="50" spans="1:20" ht="33" hidden="1" customHeight="1" x14ac:dyDescent="0.25">
      <c r="A50" s="5">
        <v>48</v>
      </c>
      <c r="B50" s="5">
        <v>420</v>
      </c>
      <c r="C50" s="6" t="s">
        <v>118</v>
      </c>
      <c r="D50" s="5">
        <v>438</v>
      </c>
      <c r="E50" s="7">
        <v>2.23</v>
      </c>
      <c r="F50" s="7">
        <f t="shared" si="0"/>
        <v>976.74</v>
      </c>
      <c r="G50" s="8">
        <f t="shared" si="1"/>
        <v>976.74</v>
      </c>
      <c r="H50" s="4">
        <f t="shared" si="2"/>
        <v>1245.3434999999999</v>
      </c>
      <c r="I50" s="4">
        <f t="shared" si="3"/>
        <v>1383.7149999999999</v>
      </c>
      <c r="J50" s="17">
        <v>1000</v>
      </c>
      <c r="K50" s="7">
        <f t="shared" si="4"/>
        <v>35.699999999999996</v>
      </c>
      <c r="L50" s="7">
        <f t="shared" si="5"/>
        <v>28</v>
      </c>
      <c r="M50" s="7">
        <f t="shared" si="6"/>
        <v>25.2</v>
      </c>
      <c r="N50" s="7">
        <f t="shared" si="7"/>
        <v>28.011204481792721</v>
      </c>
      <c r="O50" s="7">
        <f t="shared" si="8"/>
        <v>35.714285714285715</v>
      </c>
      <c r="P50" s="4">
        <f t="shared" si="9"/>
        <v>39.682539682539684</v>
      </c>
      <c r="Q50" s="4">
        <f t="shared" si="10"/>
        <v>1004.7512044817927</v>
      </c>
      <c r="R50" s="4">
        <f t="shared" si="13"/>
        <v>1281.0577857142857</v>
      </c>
      <c r="S50" s="4">
        <f t="shared" si="13"/>
        <v>1423.3975396825397</v>
      </c>
      <c r="T50" s="25"/>
    </row>
    <row r="51" spans="1:20" ht="33" hidden="1" customHeight="1" x14ac:dyDescent="0.25">
      <c r="A51" s="5">
        <v>49</v>
      </c>
      <c r="B51" s="5">
        <v>423</v>
      </c>
      <c r="C51" s="6" t="s">
        <v>385</v>
      </c>
      <c r="D51" s="5">
        <v>365</v>
      </c>
      <c r="E51" s="7">
        <v>2.23</v>
      </c>
      <c r="F51" s="7">
        <f t="shared" si="0"/>
        <v>813.95</v>
      </c>
      <c r="G51" s="8">
        <f t="shared" si="1"/>
        <v>813.95</v>
      </c>
      <c r="H51" s="4">
        <f t="shared" si="2"/>
        <v>1037.7862499999999</v>
      </c>
      <c r="I51" s="4">
        <f t="shared" si="3"/>
        <v>1153.0958333333335</v>
      </c>
      <c r="J51" s="17">
        <v>1000</v>
      </c>
      <c r="K51" s="7">
        <f t="shared" si="4"/>
        <v>35.699999999999996</v>
      </c>
      <c r="L51" s="7">
        <f t="shared" si="5"/>
        <v>28</v>
      </c>
      <c r="M51" s="7">
        <f t="shared" si="6"/>
        <v>25.2</v>
      </c>
      <c r="N51" s="7">
        <f t="shared" si="7"/>
        <v>28.011204481792721</v>
      </c>
      <c r="O51" s="7">
        <f t="shared" si="8"/>
        <v>35.714285714285715</v>
      </c>
      <c r="P51" s="4">
        <f t="shared" si="9"/>
        <v>39.682539682539684</v>
      </c>
      <c r="Q51" s="4">
        <f t="shared" si="10"/>
        <v>841.96120448179272</v>
      </c>
      <c r="R51" s="4">
        <f t="shared" si="13"/>
        <v>1073.5005357142857</v>
      </c>
      <c r="S51" s="4">
        <f t="shared" si="13"/>
        <v>1192.7783730158733</v>
      </c>
      <c r="T51" s="25"/>
    </row>
    <row r="52" spans="1:20" ht="33" hidden="1" customHeight="1" x14ac:dyDescent="0.25">
      <c r="A52" s="5">
        <v>50</v>
      </c>
      <c r="B52" s="5">
        <v>443</v>
      </c>
      <c r="C52" s="6" t="s">
        <v>386</v>
      </c>
      <c r="D52" s="5">
        <v>379</v>
      </c>
      <c r="E52" s="7">
        <v>2.23</v>
      </c>
      <c r="F52" s="7">
        <f t="shared" si="0"/>
        <v>845.17</v>
      </c>
      <c r="G52" s="8">
        <f t="shared" si="1"/>
        <v>845.17</v>
      </c>
      <c r="H52" s="4">
        <f t="shared" si="2"/>
        <v>1077.5917499999998</v>
      </c>
      <c r="I52" s="4">
        <f t="shared" si="3"/>
        <v>1197.3241666666665</v>
      </c>
      <c r="J52" s="17">
        <v>1000</v>
      </c>
      <c r="K52" s="7">
        <f t="shared" si="4"/>
        <v>35.699999999999996</v>
      </c>
      <c r="L52" s="7">
        <f t="shared" si="5"/>
        <v>28</v>
      </c>
      <c r="M52" s="7">
        <f t="shared" si="6"/>
        <v>25.2</v>
      </c>
      <c r="N52" s="7">
        <f t="shared" si="7"/>
        <v>28.011204481792721</v>
      </c>
      <c r="O52" s="7">
        <f t="shared" si="8"/>
        <v>35.714285714285715</v>
      </c>
      <c r="P52" s="4">
        <f t="shared" si="9"/>
        <v>39.682539682539684</v>
      </c>
      <c r="Q52" s="4">
        <f t="shared" si="10"/>
        <v>873.18120448179263</v>
      </c>
      <c r="R52" s="4">
        <f t="shared" si="13"/>
        <v>1113.3060357142856</v>
      </c>
      <c r="S52" s="4">
        <f t="shared" si="13"/>
        <v>1237.0067063492063</v>
      </c>
      <c r="T52" s="25"/>
    </row>
    <row r="53" spans="1:20" ht="33" hidden="1" customHeight="1" x14ac:dyDescent="0.25">
      <c r="A53" s="5">
        <v>51</v>
      </c>
      <c r="B53" s="5">
        <v>368</v>
      </c>
      <c r="C53" s="6" t="s">
        <v>387</v>
      </c>
      <c r="D53" s="5">
        <v>245</v>
      </c>
      <c r="E53" s="7">
        <v>2.23</v>
      </c>
      <c r="F53" s="7">
        <f t="shared" si="0"/>
        <v>546.35</v>
      </c>
      <c r="G53" s="8">
        <f t="shared" si="1"/>
        <v>546.35</v>
      </c>
      <c r="H53" s="4">
        <f t="shared" si="2"/>
        <v>696.59624999999994</v>
      </c>
      <c r="I53" s="4">
        <f t="shared" si="3"/>
        <v>773.99583333333339</v>
      </c>
      <c r="J53" s="17">
        <v>385</v>
      </c>
      <c r="K53" s="7">
        <f t="shared" si="4"/>
        <v>35.699999999999996</v>
      </c>
      <c r="L53" s="7">
        <f t="shared" si="5"/>
        <v>28</v>
      </c>
      <c r="M53" s="7">
        <f t="shared" si="6"/>
        <v>25.2</v>
      </c>
      <c r="N53" s="7">
        <f t="shared" si="7"/>
        <v>10.784313725490197</v>
      </c>
      <c r="O53" s="7">
        <f t="shared" si="8"/>
        <v>13.75</v>
      </c>
      <c r="P53" s="4">
        <f t="shared" si="9"/>
        <v>15.277777777777779</v>
      </c>
      <c r="Q53" s="4">
        <f t="shared" si="10"/>
        <v>557.13431372549019</v>
      </c>
      <c r="R53" s="4">
        <f t="shared" si="13"/>
        <v>710.34624999999994</v>
      </c>
      <c r="S53" s="4">
        <f t="shared" si="13"/>
        <v>789.27361111111122</v>
      </c>
      <c r="T53" s="25"/>
    </row>
    <row r="54" spans="1:20" ht="33" hidden="1" customHeight="1" x14ac:dyDescent="0.25">
      <c r="A54" s="5">
        <v>52</v>
      </c>
      <c r="B54" s="5">
        <v>371</v>
      </c>
      <c r="C54" s="6" t="s">
        <v>119</v>
      </c>
      <c r="D54" s="5">
        <v>285</v>
      </c>
      <c r="E54" s="7">
        <v>2.23</v>
      </c>
      <c r="F54" s="7">
        <f t="shared" si="0"/>
        <v>635.54999999999995</v>
      </c>
      <c r="G54" s="8">
        <f t="shared" si="1"/>
        <v>635.54999999999995</v>
      </c>
      <c r="H54" s="4">
        <f t="shared" si="2"/>
        <v>810.32624999999985</v>
      </c>
      <c r="I54" s="4">
        <f t="shared" si="3"/>
        <v>900.36249999999995</v>
      </c>
      <c r="J54" s="17">
        <v>385</v>
      </c>
      <c r="K54" s="7">
        <f t="shared" si="4"/>
        <v>35.699999999999996</v>
      </c>
      <c r="L54" s="7">
        <f t="shared" si="5"/>
        <v>28</v>
      </c>
      <c r="M54" s="7">
        <f t="shared" si="6"/>
        <v>25.2</v>
      </c>
      <c r="N54" s="7">
        <f t="shared" si="7"/>
        <v>10.784313725490197</v>
      </c>
      <c r="O54" s="7">
        <f t="shared" si="8"/>
        <v>13.75</v>
      </c>
      <c r="P54" s="4">
        <f t="shared" si="9"/>
        <v>15.277777777777779</v>
      </c>
      <c r="Q54" s="4">
        <f t="shared" si="10"/>
        <v>646.33431372549012</v>
      </c>
      <c r="R54" s="4">
        <f t="shared" si="13"/>
        <v>824.07624999999985</v>
      </c>
      <c r="S54" s="4">
        <f t="shared" si="13"/>
        <v>915.64027777777778</v>
      </c>
      <c r="T54" s="25"/>
    </row>
    <row r="55" spans="1:20" ht="33" hidden="1" customHeight="1" x14ac:dyDescent="0.25">
      <c r="A55" s="5">
        <v>53</v>
      </c>
      <c r="B55" s="5">
        <v>374</v>
      </c>
      <c r="C55" s="6" t="s">
        <v>388</v>
      </c>
      <c r="D55" s="5">
        <v>295</v>
      </c>
      <c r="E55" s="7">
        <v>2.23</v>
      </c>
      <c r="F55" s="7">
        <f t="shared" si="0"/>
        <v>657.85</v>
      </c>
      <c r="G55" s="8">
        <f t="shared" si="1"/>
        <v>657.85</v>
      </c>
      <c r="H55" s="4">
        <f t="shared" si="2"/>
        <v>838.75874999999996</v>
      </c>
      <c r="I55" s="4">
        <f t="shared" si="3"/>
        <v>931.95416666666665</v>
      </c>
      <c r="J55" s="17">
        <v>385</v>
      </c>
      <c r="K55" s="7">
        <f t="shared" si="4"/>
        <v>35.699999999999996</v>
      </c>
      <c r="L55" s="7">
        <f t="shared" si="5"/>
        <v>28</v>
      </c>
      <c r="M55" s="7">
        <f t="shared" si="6"/>
        <v>25.2</v>
      </c>
      <c r="N55" s="7">
        <f t="shared" si="7"/>
        <v>10.784313725490197</v>
      </c>
      <c r="O55" s="7">
        <f t="shared" si="8"/>
        <v>13.75</v>
      </c>
      <c r="P55" s="4">
        <f t="shared" si="9"/>
        <v>15.277777777777779</v>
      </c>
      <c r="Q55" s="4">
        <f t="shared" si="10"/>
        <v>668.63431372549019</v>
      </c>
      <c r="R55" s="4">
        <f t="shared" si="13"/>
        <v>852.50874999999996</v>
      </c>
      <c r="S55" s="4">
        <f t="shared" si="13"/>
        <v>947.23194444444448</v>
      </c>
      <c r="T55" s="25"/>
    </row>
    <row r="56" spans="1:20" ht="33" hidden="1" customHeight="1" x14ac:dyDescent="0.25">
      <c r="A56" s="5">
        <v>54</v>
      </c>
      <c r="B56" s="5">
        <v>414</v>
      </c>
      <c r="C56" s="6" t="s">
        <v>389</v>
      </c>
      <c r="D56" s="5">
        <v>273</v>
      </c>
      <c r="E56" s="7">
        <v>2.23</v>
      </c>
      <c r="F56" s="7">
        <f t="shared" si="0"/>
        <v>608.79</v>
      </c>
      <c r="G56" s="8">
        <f t="shared" si="1"/>
        <v>608.79</v>
      </c>
      <c r="H56" s="4">
        <f t="shared" si="2"/>
        <v>776.20724999999993</v>
      </c>
      <c r="I56" s="4">
        <f t="shared" si="3"/>
        <v>862.45249999999987</v>
      </c>
      <c r="J56" s="17">
        <v>385</v>
      </c>
      <c r="K56" s="7">
        <f t="shared" si="4"/>
        <v>35.699999999999996</v>
      </c>
      <c r="L56" s="7">
        <f t="shared" si="5"/>
        <v>28</v>
      </c>
      <c r="M56" s="7">
        <f t="shared" si="6"/>
        <v>25.2</v>
      </c>
      <c r="N56" s="7">
        <f t="shared" si="7"/>
        <v>10.784313725490197</v>
      </c>
      <c r="O56" s="7">
        <f t="shared" si="8"/>
        <v>13.75</v>
      </c>
      <c r="P56" s="4">
        <f t="shared" si="9"/>
        <v>15.277777777777779</v>
      </c>
      <c r="Q56" s="4">
        <f t="shared" si="10"/>
        <v>619.57431372549013</v>
      </c>
      <c r="R56" s="4">
        <f t="shared" si="13"/>
        <v>789.95724999999993</v>
      </c>
      <c r="S56" s="4">
        <f t="shared" si="13"/>
        <v>877.7302777777777</v>
      </c>
      <c r="T56" s="25"/>
    </row>
    <row r="57" spans="1:20" ht="33" hidden="1" customHeight="1" x14ac:dyDescent="0.25">
      <c r="A57" s="5">
        <v>55</v>
      </c>
      <c r="B57" s="5">
        <v>415</v>
      </c>
      <c r="C57" s="6" t="s">
        <v>390</v>
      </c>
      <c r="D57" s="5">
        <v>167</v>
      </c>
      <c r="E57" s="7">
        <v>2.23</v>
      </c>
      <c r="F57" s="7">
        <f t="shared" si="0"/>
        <v>372.41</v>
      </c>
      <c r="G57" s="8">
        <f t="shared" si="1"/>
        <v>372.41</v>
      </c>
      <c r="H57" s="4">
        <f t="shared" si="2"/>
        <v>474.82274999999998</v>
      </c>
      <c r="I57" s="4">
        <f t="shared" si="3"/>
        <v>527.58083333333332</v>
      </c>
      <c r="J57" s="17">
        <v>385</v>
      </c>
      <c r="K57" s="7">
        <f t="shared" si="4"/>
        <v>35.699999999999996</v>
      </c>
      <c r="L57" s="7">
        <f t="shared" si="5"/>
        <v>28</v>
      </c>
      <c r="M57" s="7">
        <f t="shared" si="6"/>
        <v>25.2</v>
      </c>
      <c r="N57" s="7">
        <f t="shared" si="7"/>
        <v>10.784313725490197</v>
      </c>
      <c r="O57" s="7">
        <f t="shared" si="8"/>
        <v>13.75</v>
      </c>
      <c r="P57" s="4">
        <f t="shared" si="9"/>
        <v>15.277777777777779</v>
      </c>
      <c r="Q57" s="4">
        <f t="shared" si="10"/>
        <v>383.19431372549025</v>
      </c>
      <c r="R57" s="4">
        <f t="shared" si="13"/>
        <v>488.57274999999998</v>
      </c>
      <c r="S57" s="4">
        <f t="shared" si="13"/>
        <v>542.85861111111114</v>
      </c>
      <c r="T57" s="25"/>
    </row>
    <row r="58" spans="1:20" ht="33" hidden="1" customHeight="1" x14ac:dyDescent="0.25">
      <c r="A58" s="5">
        <v>56</v>
      </c>
      <c r="B58" s="5">
        <v>449</v>
      </c>
      <c r="C58" s="6" t="s">
        <v>391</v>
      </c>
      <c r="D58" s="5">
        <v>210</v>
      </c>
      <c r="E58" s="7">
        <v>2.23</v>
      </c>
      <c r="F58" s="7">
        <f t="shared" si="0"/>
        <v>468.3</v>
      </c>
      <c r="G58" s="8">
        <f t="shared" si="1"/>
        <v>468.3</v>
      </c>
      <c r="H58" s="4">
        <f t="shared" si="2"/>
        <v>597.08249999999998</v>
      </c>
      <c r="I58" s="4">
        <f t="shared" si="3"/>
        <v>663.42499999999995</v>
      </c>
      <c r="J58" s="17">
        <v>385</v>
      </c>
      <c r="K58" s="7">
        <f t="shared" si="4"/>
        <v>35.699999999999996</v>
      </c>
      <c r="L58" s="7">
        <f t="shared" si="5"/>
        <v>28</v>
      </c>
      <c r="M58" s="7">
        <f t="shared" si="6"/>
        <v>25.2</v>
      </c>
      <c r="N58" s="7">
        <f t="shared" si="7"/>
        <v>10.784313725490197</v>
      </c>
      <c r="O58" s="7">
        <f t="shared" si="8"/>
        <v>13.75</v>
      </c>
      <c r="P58" s="4">
        <f t="shared" si="9"/>
        <v>15.277777777777779</v>
      </c>
      <c r="Q58" s="4">
        <f t="shared" si="10"/>
        <v>479.08431372549023</v>
      </c>
      <c r="R58" s="4">
        <f t="shared" si="13"/>
        <v>610.83249999999998</v>
      </c>
      <c r="S58" s="4">
        <f t="shared" si="13"/>
        <v>678.70277777777778</v>
      </c>
      <c r="T58" s="25"/>
    </row>
    <row r="59" spans="1:20" ht="33" hidden="1" customHeight="1" x14ac:dyDescent="0.25">
      <c r="A59" s="5">
        <v>57</v>
      </c>
      <c r="B59" s="5">
        <v>450</v>
      </c>
      <c r="C59" s="6" t="s">
        <v>120</v>
      </c>
      <c r="D59" s="5">
        <v>306</v>
      </c>
      <c r="E59" s="7">
        <v>2.23</v>
      </c>
      <c r="F59" s="7">
        <f t="shared" si="0"/>
        <v>682.38</v>
      </c>
      <c r="G59" s="8">
        <f t="shared" si="1"/>
        <v>682.38</v>
      </c>
      <c r="H59" s="4">
        <f t="shared" si="2"/>
        <v>870.03449999999998</v>
      </c>
      <c r="I59" s="4">
        <f t="shared" si="3"/>
        <v>966.70499999999993</v>
      </c>
      <c r="J59" s="17">
        <v>385</v>
      </c>
      <c r="K59" s="7">
        <f t="shared" si="4"/>
        <v>35.699999999999996</v>
      </c>
      <c r="L59" s="7">
        <f t="shared" si="5"/>
        <v>28</v>
      </c>
      <c r="M59" s="7">
        <f t="shared" si="6"/>
        <v>25.2</v>
      </c>
      <c r="N59" s="7">
        <f t="shared" si="7"/>
        <v>10.784313725490197</v>
      </c>
      <c r="O59" s="7">
        <f t="shared" si="8"/>
        <v>13.75</v>
      </c>
      <c r="P59" s="4">
        <f t="shared" si="9"/>
        <v>15.277777777777779</v>
      </c>
      <c r="Q59" s="4">
        <f t="shared" si="10"/>
        <v>693.16431372549016</v>
      </c>
      <c r="R59" s="4">
        <f t="shared" si="13"/>
        <v>883.78449999999998</v>
      </c>
      <c r="S59" s="4">
        <f t="shared" si="13"/>
        <v>981.98277777777776</v>
      </c>
      <c r="T59" s="25"/>
    </row>
    <row r="60" spans="1:20" ht="33" hidden="1" customHeight="1" x14ac:dyDescent="0.25">
      <c r="A60" s="5">
        <v>58</v>
      </c>
      <c r="B60" s="5">
        <v>224</v>
      </c>
      <c r="C60" s="6" t="s">
        <v>392</v>
      </c>
      <c r="D60" s="5">
        <v>112</v>
      </c>
      <c r="E60" s="7">
        <v>2.23</v>
      </c>
      <c r="F60" s="7">
        <f t="shared" si="0"/>
        <v>249.76</v>
      </c>
      <c r="G60" s="8">
        <f t="shared" si="1"/>
        <v>249.76</v>
      </c>
      <c r="H60" s="4">
        <f t="shared" si="2"/>
        <v>318.44399999999996</v>
      </c>
      <c r="I60" s="4">
        <f t="shared" si="3"/>
        <v>353.82666666666665</v>
      </c>
      <c r="J60" s="17">
        <v>275</v>
      </c>
      <c r="K60" s="7">
        <f t="shared" si="4"/>
        <v>35.699999999999996</v>
      </c>
      <c r="L60" s="7">
        <f t="shared" si="5"/>
        <v>28</v>
      </c>
      <c r="M60" s="7">
        <f t="shared" si="6"/>
        <v>25.2</v>
      </c>
      <c r="N60" s="7">
        <f t="shared" si="7"/>
        <v>7.7030812324929983</v>
      </c>
      <c r="O60" s="7">
        <f t="shared" si="8"/>
        <v>9.8214285714285712</v>
      </c>
      <c r="P60" s="4">
        <f t="shared" si="9"/>
        <v>10.912698412698413</v>
      </c>
      <c r="Q60" s="4">
        <f t="shared" si="10"/>
        <v>257.46308123249298</v>
      </c>
      <c r="R60" s="4">
        <f t="shared" si="13"/>
        <v>328.26542857142852</v>
      </c>
      <c r="S60" s="4">
        <f t="shared" si="13"/>
        <v>364.73936507936509</v>
      </c>
      <c r="T60" s="25"/>
    </row>
    <row r="61" spans="1:20" ht="33" hidden="1" customHeight="1" x14ac:dyDescent="0.25">
      <c r="A61" s="5">
        <v>59</v>
      </c>
      <c r="B61" s="5">
        <v>380</v>
      </c>
      <c r="C61" s="6" t="s">
        <v>393</v>
      </c>
      <c r="D61" s="5">
        <v>396</v>
      </c>
      <c r="E61" s="7">
        <v>2.23</v>
      </c>
      <c r="F61" s="7">
        <f t="shared" si="0"/>
        <v>883.08</v>
      </c>
      <c r="G61" s="8">
        <f t="shared" si="1"/>
        <v>883.08</v>
      </c>
      <c r="H61" s="4">
        <f t="shared" si="2"/>
        <v>1125.9269999999999</v>
      </c>
      <c r="I61" s="4">
        <f t="shared" si="3"/>
        <v>1251.03</v>
      </c>
      <c r="J61" s="17">
        <v>605</v>
      </c>
      <c r="K61" s="7">
        <f t="shared" si="4"/>
        <v>35.699999999999996</v>
      </c>
      <c r="L61" s="7">
        <f t="shared" si="5"/>
        <v>28</v>
      </c>
      <c r="M61" s="7">
        <f t="shared" si="6"/>
        <v>25.2</v>
      </c>
      <c r="N61" s="7">
        <f t="shared" si="7"/>
        <v>16.946778711484598</v>
      </c>
      <c r="O61" s="7">
        <f t="shared" si="8"/>
        <v>21.607142857142858</v>
      </c>
      <c r="P61" s="4">
        <f t="shared" si="9"/>
        <v>24.00793650793651</v>
      </c>
      <c r="Q61" s="4">
        <f t="shared" si="10"/>
        <v>900.02677871148467</v>
      </c>
      <c r="R61" s="4">
        <f t="shared" si="13"/>
        <v>1147.5341428571428</v>
      </c>
      <c r="S61" s="4">
        <f t="shared" si="13"/>
        <v>1275.0379365079366</v>
      </c>
      <c r="T61" s="25"/>
    </row>
    <row r="62" spans="1:20" ht="33" hidden="1" customHeight="1" x14ac:dyDescent="0.25">
      <c r="A62" s="5">
        <v>60</v>
      </c>
      <c r="B62" s="9">
        <v>413</v>
      </c>
      <c r="C62" s="10" t="s">
        <v>121</v>
      </c>
      <c r="D62" s="9">
        <v>282</v>
      </c>
      <c r="E62" s="7">
        <v>2.23</v>
      </c>
      <c r="F62" s="7">
        <f t="shared" si="0"/>
        <v>628.86</v>
      </c>
      <c r="G62" s="8">
        <f t="shared" si="1"/>
        <v>628.86</v>
      </c>
      <c r="H62" s="4">
        <f t="shared" si="2"/>
        <v>801.79649999999992</v>
      </c>
      <c r="I62" s="4">
        <f t="shared" si="3"/>
        <v>890.88499999999999</v>
      </c>
      <c r="J62" s="17">
        <v>450</v>
      </c>
      <c r="K62" s="7">
        <f t="shared" si="4"/>
        <v>35.699999999999996</v>
      </c>
      <c r="L62" s="7">
        <f t="shared" si="5"/>
        <v>28</v>
      </c>
      <c r="M62" s="7">
        <f t="shared" si="6"/>
        <v>25.2</v>
      </c>
      <c r="N62" s="7">
        <f t="shared" si="7"/>
        <v>12.605042016806724</v>
      </c>
      <c r="O62" s="7">
        <f t="shared" si="8"/>
        <v>16.071428571428573</v>
      </c>
      <c r="P62" s="4">
        <f t="shared" si="9"/>
        <v>17.857142857142858</v>
      </c>
      <c r="Q62" s="4">
        <f t="shared" si="10"/>
        <v>641.46504201680671</v>
      </c>
      <c r="R62" s="4">
        <f t="shared" si="13"/>
        <v>817.86792857142848</v>
      </c>
      <c r="S62" s="4">
        <f t="shared" si="13"/>
        <v>908.74214285714288</v>
      </c>
      <c r="T62" s="25"/>
    </row>
    <row r="63" spans="1:20" ht="33" hidden="1" customHeight="1" x14ac:dyDescent="0.25">
      <c r="A63" s="5">
        <v>61</v>
      </c>
      <c r="B63" s="9">
        <v>318</v>
      </c>
      <c r="C63" s="10" t="s">
        <v>122</v>
      </c>
      <c r="D63" s="9">
        <v>179</v>
      </c>
      <c r="E63" s="7">
        <v>2.23</v>
      </c>
      <c r="F63" s="7">
        <f t="shared" si="0"/>
        <v>399.17</v>
      </c>
      <c r="G63" s="8">
        <f t="shared" si="1"/>
        <v>399.17</v>
      </c>
      <c r="H63" s="4">
        <f t="shared" si="2"/>
        <v>508.94175000000001</v>
      </c>
      <c r="I63" s="4">
        <f t="shared" si="3"/>
        <v>565.4908333333334</v>
      </c>
      <c r="J63" s="17">
        <v>60</v>
      </c>
      <c r="K63" s="7">
        <f t="shared" si="4"/>
        <v>35.699999999999996</v>
      </c>
      <c r="L63" s="7">
        <f t="shared" si="5"/>
        <v>28</v>
      </c>
      <c r="M63" s="7">
        <f t="shared" si="6"/>
        <v>25.2</v>
      </c>
      <c r="N63" s="7">
        <f t="shared" si="7"/>
        <v>1.6806722689075633</v>
      </c>
      <c r="O63" s="7">
        <f t="shared" si="8"/>
        <v>2.1428571428571428</v>
      </c>
      <c r="P63" s="4">
        <f t="shared" si="9"/>
        <v>2.3809523809523809</v>
      </c>
      <c r="Q63" s="4">
        <f t="shared" si="10"/>
        <v>400.8506722689076</v>
      </c>
      <c r="R63" s="4">
        <f t="shared" si="13"/>
        <v>511.08460714285718</v>
      </c>
      <c r="S63" s="4">
        <f t="shared" si="13"/>
        <v>567.87178571428581</v>
      </c>
      <c r="T63" s="25"/>
    </row>
    <row r="64" spans="1:20" ht="33" customHeight="1" x14ac:dyDescent="0.3">
      <c r="A64" s="5">
        <v>62</v>
      </c>
      <c r="B64" s="14" t="s">
        <v>1</v>
      </c>
      <c r="C64" s="15" t="s">
        <v>40</v>
      </c>
      <c r="D64" s="3">
        <v>90</v>
      </c>
      <c r="E64" s="7">
        <v>2.23</v>
      </c>
      <c r="F64" s="7">
        <f t="shared" ref="F64" si="14">D64*E64</f>
        <v>200.7</v>
      </c>
      <c r="G64" s="8">
        <f t="shared" si="1"/>
        <v>200.7</v>
      </c>
      <c r="H64" s="4">
        <f t="shared" ref="H64" si="15">F64*(51/40)</f>
        <v>255.89249999999996</v>
      </c>
      <c r="I64" s="4">
        <f t="shared" ref="I64" si="16">(F64*51)/36</f>
        <v>284.32499999999999</v>
      </c>
      <c r="J64" s="17">
        <v>0</v>
      </c>
      <c r="K64" s="7">
        <f t="shared" si="4"/>
        <v>35.699999999999996</v>
      </c>
      <c r="L64" s="7">
        <f t="shared" si="5"/>
        <v>28</v>
      </c>
      <c r="M64" s="7">
        <f t="shared" si="6"/>
        <v>25.2</v>
      </c>
      <c r="N64" s="7">
        <f t="shared" ref="N64" si="17">J64/K64</f>
        <v>0</v>
      </c>
      <c r="O64" s="7">
        <f t="shared" ref="O64" si="18">J64/L64</f>
        <v>0</v>
      </c>
      <c r="P64" s="4">
        <f t="shared" ref="P64" si="19">J64/M64</f>
        <v>0</v>
      </c>
      <c r="Q64" s="4">
        <f t="shared" ref="Q64" si="20">F64+N64</f>
        <v>200.7</v>
      </c>
      <c r="R64" s="4">
        <f t="shared" ref="R64" si="21">H64+O64</f>
        <v>255.89249999999996</v>
      </c>
      <c r="S64" s="4">
        <f t="shared" ref="S64" si="22">I64+P64</f>
        <v>284.32499999999999</v>
      </c>
    </row>
    <row r="65" spans="1:19" ht="33" customHeight="1" x14ac:dyDescent="0.3">
      <c r="A65" s="5">
        <v>63</v>
      </c>
      <c r="B65" s="14" t="s">
        <v>2</v>
      </c>
      <c r="C65" s="15" t="s">
        <v>41</v>
      </c>
      <c r="D65" s="3">
        <v>129</v>
      </c>
      <c r="E65" s="7">
        <v>2.23</v>
      </c>
      <c r="F65" s="7">
        <f t="shared" ref="F65:F139" si="23">D65*E65</f>
        <v>287.67</v>
      </c>
      <c r="G65" s="8">
        <f t="shared" si="1"/>
        <v>287.67</v>
      </c>
      <c r="H65" s="4">
        <f t="shared" ref="H65:H139" si="24">F65*(51/40)</f>
        <v>366.77924999999999</v>
      </c>
      <c r="I65" s="4">
        <f t="shared" ref="I65:I139" si="25">(F65*51)/36</f>
        <v>407.53250000000003</v>
      </c>
      <c r="J65" s="17">
        <v>0</v>
      </c>
      <c r="K65" s="7">
        <f t="shared" si="4"/>
        <v>35.699999999999996</v>
      </c>
      <c r="L65" s="7">
        <f t="shared" si="5"/>
        <v>28</v>
      </c>
      <c r="M65" s="7">
        <f t="shared" si="6"/>
        <v>25.2</v>
      </c>
      <c r="N65" s="7">
        <f t="shared" ref="N65:N139" si="26">J65/K65</f>
        <v>0</v>
      </c>
      <c r="O65" s="7">
        <f t="shared" ref="O65:O139" si="27">J65/L65</f>
        <v>0</v>
      </c>
      <c r="P65" s="4">
        <f t="shared" ref="P65:P139" si="28">J65/M65</f>
        <v>0</v>
      </c>
      <c r="Q65" s="4">
        <f t="shared" ref="Q65:Q139" si="29">F65+N65</f>
        <v>287.67</v>
      </c>
      <c r="R65" s="4">
        <f t="shared" ref="R65:R139" si="30">H65+O65</f>
        <v>366.77924999999999</v>
      </c>
      <c r="S65" s="4">
        <f t="shared" ref="S65:S139" si="31">I65+P65</f>
        <v>407.53250000000003</v>
      </c>
    </row>
    <row r="66" spans="1:19" ht="33" customHeight="1" x14ac:dyDescent="0.3">
      <c r="A66" s="5">
        <v>64</v>
      </c>
      <c r="B66" s="14" t="s">
        <v>3</v>
      </c>
      <c r="C66" s="15" t="s">
        <v>66</v>
      </c>
      <c r="D66" s="3">
        <v>114</v>
      </c>
      <c r="E66" s="7">
        <v>2.23</v>
      </c>
      <c r="F66" s="7">
        <f t="shared" si="23"/>
        <v>254.22</v>
      </c>
      <c r="G66" s="8">
        <f t="shared" si="1"/>
        <v>254.22</v>
      </c>
      <c r="H66" s="4">
        <f t="shared" si="24"/>
        <v>324.13049999999998</v>
      </c>
      <c r="I66" s="4">
        <f t="shared" si="25"/>
        <v>360.14499999999998</v>
      </c>
      <c r="J66" s="17">
        <v>0</v>
      </c>
      <c r="K66" s="7">
        <f t="shared" si="4"/>
        <v>35.699999999999996</v>
      </c>
      <c r="L66" s="7">
        <f t="shared" si="5"/>
        <v>28</v>
      </c>
      <c r="M66" s="7">
        <f t="shared" si="6"/>
        <v>25.2</v>
      </c>
      <c r="N66" s="7">
        <f t="shared" si="26"/>
        <v>0</v>
      </c>
      <c r="O66" s="7">
        <f t="shared" si="27"/>
        <v>0</v>
      </c>
      <c r="P66" s="4">
        <f t="shared" si="28"/>
        <v>0</v>
      </c>
      <c r="Q66" s="4">
        <f t="shared" si="29"/>
        <v>254.22</v>
      </c>
      <c r="R66" s="4">
        <f t="shared" si="30"/>
        <v>324.13049999999998</v>
      </c>
      <c r="S66" s="4">
        <f t="shared" si="31"/>
        <v>360.14499999999998</v>
      </c>
    </row>
    <row r="67" spans="1:19" ht="33" customHeight="1" x14ac:dyDescent="0.3">
      <c r="A67" s="5">
        <v>65</v>
      </c>
      <c r="B67" s="14" t="s">
        <v>4</v>
      </c>
      <c r="C67" s="15" t="s">
        <v>42</v>
      </c>
      <c r="D67" s="3">
        <v>78</v>
      </c>
      <c r="E67" s="7">
        <v>2.23</v>
      </c>
      <c r="F67" s="7">
        <f t="shared" si="23"/>
        <v>173.94</v>
      </c>
      <c r="G67" s="8">
        <f t="shared" ref="G67:G141" si="32">F67*(51/51)</f>
        <v>173.94</v>
      </c>
      <c r="H67" s="4">
        <f t="shared" si="24"/>
        <v>221.77349999999998</v>
      </c>
      <c r="I67" s="4">
        <f t="shared" si="25"/>
        <v>246.41500000000002</v>
      </c>
      <c r="J67" s="17">
        <v>0</v>
      </c>
      <c r="K67" s="7">
        <f t="shared" ref="K67:K141" si="33">51*0.7</f>
        <v>35.699999999999996</v>
      </c>
      <c r="L67" s="7">
        <f t="shared" ref="L67:L141" si="34">40*0.7</f>
        <v>28</v>
      </c>
      <c r="M67" s="7">
        <f t="shared" ref="M67:M141" si="35">36*0.7</f>
        <v>25.2</v>
      </c>
      <c r="N67" s="7">
        <f t="shared" si="26"/>
        <v>0</v>
      </c>
      <c r="O67" s="7">
        <f t="shared" si="27"/>
        <v>0</v>
      </c>
      <c r="P67" s="4">
        <f t="shared" si="28"/>
        <v>0</v>
      </c>
      <c r="Q67" s="4">
        <f t="shared" si="29"/>
        <v>173.94</v>
      </c>
      <c r="R67" s="4">
        <f t="shared" si="30"/>
        <v>221.77349999999998</v>
      </c>
      <c r="S67" s="4">
        <f t="shared" si="31"/>
        <v>246.41500000000002</v>
      </c>
    </row>
    <row r="68" spans="1:19" ht="33" customHeight="1" x14ac:dyDescent="0.3">
      <c r="A68" s="5">
        <v>66</v>
      </c>
      <c r="B68" s="14" t="s">
        <v>5</v>
      </c>
      <c r="C68" s="15" t="s">
        <v>43</v>
      </c>
      <c r="D68" s="3">
        <v>152</v>
      </c>
      <c r="E68" s="7">
        <v>2.23</v>
      </c>
      <c r="F68" s="7">
        <f t="shared" si="23"/>
        <v>338.96</v>
      </c>
      <c r="G68" s="8">
        <f t="shared" si="32"/>
        <v>338.96</v>
      </c>
      <c r="H68" s="4">
        <f t="shared" si="24"/>
        <v>432.17399999999992</v>
      </c>
      <c r="I68" s="4">
        <f t="shared" si="25"/>
        <v>480.19333333333333</v>
      </c>
      <c r="J68" s="17">
        <v>60</v>
      </c>
      <c r="K68" s="7">
        <f t="shared" si="33"/>
        <v>35.699999999999996</v>
      </c>
      <c r="L68" s="7">
        <f t="shared" si="34"/>
        <v>28</v>
      </c>
      <c r="M68" s="7">
        <f t="shared" si="35"/>
        <v>25.2</v>
      </c>
      <c r="N68" s="7">
        <f t="shared" si="26"/>
        <v>1.6806722689075633</v>
      </c>
      <c r="O68" s="7">
        <f t="shared" si="27"/>
        <v>2.1428571428571428</v>
      </c>
      <c r="P68" s="4">
        <f t="shared" si="28"/>
        <v>2.3809523809523809</v>
      </c>
      <c r="Q68" s="4">
        <f t="shared" si="29"/>
        <v>340.64067226890757</v>
      </c>
      <c r="R68" s="4">
        <f t="shared" si="30"/>
        <v>434.31685714285709</v>
      </c>
      <c r="S68" s="4">
        <f t="shared" si="31"/>
        <v>482.57428571428574</v>
      </c>
    </row>
    <row r="69" spans="1:19" ht="33" customHeight="1" x14ac:dyDescent="0.25">
      <c r="A69" s="5">
        <v>67</v>
      </c>
      <c r="B69" s="2" t="s">
        <v>14</v>
      </c>
      <c r="C69" s="16" t="s">
        <v>50</v>
      </c>
      <c r="D69" s="1">
        <v>99</v>
      </c>
      <c r="E69" s="7">
        <v>2.23</v>
      </c>
      <c r="F69" s="7">
        <f t="shared" ref="F69:F72" si="36">D69*E69</f>
        <v>220.77</v>
      </c>
      <c r="G69" s="8">
        <f t="shared" ref="G69:G72" si="37">F69*(51/51)</f>
        <v>220.77</v>
      </c>
      <c r="H69" s="4">
        <f t="shared" ref="H69:H72" si="38">F69*(51/40)</f>
        <v>281.48174999999998</v>
      </c>
      <c r="I69" s="4">
        <f t="shared" ref="I69:I72" si="39">(F69*51)/36</f>
        <v>312.75749999999999</v>
      </c>
      <c r="J69" s="17">
        <v>0</v>
      </c>
      <c r="K69" s="7">
        <f t="shared" si="33"/>
        <v>35.699999999999996</v>
      </c>
      <c r="L69" s="7">
        <f t="shared" si="34"/>
        <v>28</v>
      </c>
      <c r="M69" s="7">
        <f t="shared" si="35"/>
        <v>25.2</v>
      </c>
      <c r="N69" s="7">
        <f t="shared" ref="N69:N72" si="40">J69/K69</f>
        <v>0</v>
      </c>
      <c r="O69" s="7">
        <f t="shared" ref="O69:O72" si="41">J69/L69</f>
        <v>0</v>
      </c>
      <c r="P69" s="4">
        <f t="shared" ref="P69:P72" si="42">J69/M69</f>
        <v>0</v>
      </c>
      <c r="Q69" s="4">
        <f t="shared" ref="Q69:Q72" si="43">F69+N69</f>
        <v>220.77</v>
      </c>
      <c r="R69" s="4">
        <f t="shared" ref="R69:R72" si="44">H69+O69</f>
        <v>281.48174999999998</v>
      </c>
      <c r="S69" s="4">
        <f t="shared" ref="S69:S72" si="45">I69+P69</f>
        <v>312.75749999999999</v>
      </c>
    </row>
    <row r="70" spans="1:19" ht="33" customHeight="1" x14ac:dyDescent="0.25">
      <c r="A70" s="5">
        <v>68</v>
      </c>
      <c r="B70" s="2" t="s">
        <v>15</v>
      </c>
      <c r="C70" s="16" t="s">
        <v>51</v>
      </c>
      <c r="D70" s="1">
        <v>123</v>
      </c>
      <c r="E70" s="7">
        <v>2.23</v>
      </c>
      <c r="F70" s="7">
        <f t="shared" si="36"/>
        <v>274.29000000000002</v>
      </c>
      <c r="G70" s="8">
        <f t="shared" si="37"/>
        <v>274.29000000000002</v>
      </c>
      <c r="H70" s="4">
        <f t="shared" si="38"/>
        <v>349.71974999999998</v>
      </c>
      <c r="I70" s="4">
        <f t="shared" si="39"/>
        <v>388.57750000000004</v>
      </c>
      <c r="J70" s="17">
        <v>0</v>
      </c>
      <c r="K70" s="7">
        <f t="shared" si="33"/>
        <v>35.699999999999996</v>
      </c>
      <c r="L70" s="7">
        <f t="shared" si="34"/>
        <v>28</v>
      </c>
      <c r="M70" s="7">
        <f t="shared" si="35"/>
        <v>25.2</v>
      </c>
      <c r="N70" s="7">
        <f t="shared" si="40"/>
        <v>0</v>
      </c>
      <c r="O70" s="7">
        <f t="shared" si="41"/>
        <v>0</v>
      </c>
      <c r="P70" s="4">
        <f t="shared" si="42"/>
        <v>0</v>
      </c>
      <c r="Q70" s="4">
        <f t="shared" si="43"/>
        <v>274.29000000000002</v>
      </c>
      <c r="R70" s="4">
        <f t="shared" si="44"/>
        <v>349.71974999999998</v>
      </c>
      <c r="S70" s="4">
        <f t="shared" si="45"/>
        <v>388.57750000000004</v>
      </c>
    </row>
    <row r="71" spans="1:19" ht="33" customHeight="1" x14ac:dyDescent="0.25">
      <c r="A71" s="5">
        <v>69</v>
      </c>
      <c r="B71" s="2" t="s">
        <v>19</v>
      </c>
      <c r="C71" s="16" t="s">
        <v>67</v>
      </c>
      <c r="D71" s="1">
        <v>142</v>
      </c>
      <c r="E71" s="7">
        <v>2.23</v>
      </c>
      <c r="F71" s="7">
        <f t="shared" si="36"/>
        <v>316.66000000000003</v>
      </c>
      <c r="G71" s="8">
        <f t="shared" si="37"/>
        <v>316.66000000000003</v>
      </c>
      <c r="H71" s="4">
        <f t="shared" si="38"/>
        <v>403.74150000000003</v>
      </c>
      <c r="I71" s="4">
        <f t="shared" si="39"/>
        <v>448.60166666666669</v>
      </c>
      <c r="J71" s="17">
        <v>0</v>
      </c>
      <c r="K71" s="7">
        <f t="shared" si="33"/>
        <v>35.699999999999996</v>
      </c>
      <c r="L71" s="7">
        <f t="shared" si="34"/>
        <v>28</v>
      </c>
      <c r="M71" s="7">
        <f t="shared" si="35"/>
        <v>25.2</v>
      </c>
      <c r="N71" s="7">
        <f t="shared" si="40"/>
        <v>0</v>
      </c>
      <c r="O71" s="7">
        <f t="shared" si="41"/>
        <v>0</v>
      </c>
      <c r="P71" s="4">
        <f t="shared" si="42"/>
        <v>0</v>
      </c>
      <c r="Q71" s="4">
        <f t="shared" si="43"/>
        <v>316.66000000000003</v>
      </c>
      <c r="R71" s="4">
        <f t="shared" si="44"/>
        <v>403.74150000000003</v>
      </c>
      <c r="S71" s="4">
        <f t="shared" si="45"/>
        <v>448.60166666666669</v>
      </c>
    </row>
    <row r="72" spans="1:19" ht="33" customHeight="1" x14ac:dyDescent="0.25">
      <c r="A72" s="5">
        <v>70</v>
      </c>
      <c r="B72" s="2" t="s">
        <v>20</v>
      </c>
      <c r="C72" s="16" t="s">
        <v>515</v>
      </c>
      <c r="D72" s="1">
        <v>179</v>
      </c>
      <c r="E72" s="7">
        <v>2.23</v>
      </c>
      <c r="F72" s="7">
        <f t="shared" si="36"/>
        <v>399.17</v>
      </c>
      <c r="G72" s="8">
        <f t="shared" si="37"/>
        <v>399.17</v>
      </c>
      <c r="H72" s="4">
        <f t="shared" si="38"/>
        <v>508.94175000000001</v>
      </c>
      <c r="I72" s="4">
        <f t="shared" si="39"/>
        <v>565.4908333333334</v>
      </c>
      <c r="J72" s="17">
        <v>0</v>
      </c>
      <c r="K72" s="7">
        <f t="shared" si="33"/>
        <v>35.699999999999996</v>
      </c>
      <c r="L72" s="7">
        <f t="shared" si="34"/>
        <v>28</v>
      </c>
      <c r="M72" s="7">
        <f t="shared" si="35"/>
        <v>25.2</v>
      </c>
      <c r="N72" s="7">
        <f t="shared" si="40"/>
        <v>0</v>
      </c>
      <c r="O72" s="7">
        <f t="shared" si="41"/>
        <v>0</v>
      </c>
      <c r="P72" s="4">
        <f t="shared" si="42"/>
        <v>0</v>
      </c>
      <c r="Q72" s="4">
        <f t="shared" si="43"/>
        <v>399.17</v>
      </c>
      <c r="R72" s="4">
        <f t="shared" si="44"/>
        <v>508.94175000000001</v>
      </c>
      <c r="S72" s="4">
        <f t="shared" si="45"/>
        <v>565.4908333333334</v>
      </c>
    </row>
    <row r="73" spans="1:19" ht="33" customHeight="1" x14ac:dyDescent="0.25">
      <c r="A73" s="5">
        <v>71</v>
      </c>
      <c r="B73" s="2" t="s">
        <v>23</v>
      </c>
      <c r="C73" s="16" t="s">
        <v>71</v>
      </c>
      <c r="D73" s="1">
        <v>91</v>
      </c>
      <c r="E73" s="7">
        <v>2.23</v>
      </c>
      <c r="F73" s="7">
        <f t="shared" ref="F73:F79" si="46">D73*E73</f>
        <v>202.93</v>
      </c>
      <c r="G73" s="8">
        <f t="shared" ref="G73:G79" si="47">F73*(51/51)</f>
        <v>202.93</v>
      </c>
      <c r="H73" s="4">
        <f t="shared" ref="H73:H79" si="48">F73*(51/40)</f>
        <v>258.73575</v>
      </c>
      <c r="I73" s="4">
        <f t="shared" ref="I73:I79" si="49">(F73*51)/36</f>
        <v>287.48416666666668</v>
      </c>
      <c r="J73" s="17">
        <v>75</v>
      </c>
      <c r="K73" s="7">
        <f t="shared" si="33"/>
        <v>35.699999999999996</v>
      </c>
      <c r="L73" s="7">
        <f t="shared" si="34"/>
        <v>28</v>
      </c>
      <c r="M73" s="7">
        <f t="shared" si="35"/>
        <v>25.2</v>
      </c>
      <c r="N73" s="7">
        <f t="shared" ref="N73:N79" si="50">J73/K73</f>
        <v>2.1008403361344539</v>
      </c>
      <c r="O73" s="7">
        <f t="shared" ref="O73:O79" si="51">J73/L73</f>
        <v>2.6785714285714284</v>
      </c>
      <c r="P73" s="4">
        <f t="shared" ref="P73:P79" si="52">J73/M73</f>
        <v>2.9761904761904763</v>
      </c>
      <c r="Q73" s="4">
        <f t="shared" ref="Q73:Q79" si="53">F73+N73</f>
        <v>205.03084033613447</v>
      </c>
      <c r="R73" s="4">
        <f t="shared" ref="R73:R79" si="54">H73+O73</f>
        <v>261.41432142857144</v>
      </c>
      <c r="S73" s="4">
        <f t="shared" ref="S73:S79" si="55">I73+P73</f>
        <v>290.46035714285716</v>
      </c>
    </row>
    <row r="74" spans="1:19" ht="33" customHeight="1" x14ac:dyDescent="0.25">
      <c r="A74" s="5">
        <v>72</v>
      </c>
      <c r="B74" s="2" t="s">
        <v>25</v>
      </c>
      <c r="C74" s="16" t="s">
        <v>55</v>
      </c>
      <c r="D74" s="1">
        <v>106</v>
      </c>
      <c r="E74" s="7">
        <v>2.23</v>
      </c>
      <c r="F74" s="7">
        <f t="shared" si="46"/>
        <v>236.38</v>
      </c>
      <c r="G74" s="8">
        <f t="shared" si="47"/>
        <v>236.38</v>
      </c>
      <c r="H74" s="4">
        <f t="shared" si="48"/>
        <v>301.38449999999995</v>
      </c>
      <c r="I74" s="4">
        <f t="shared" si="49"/>
        <v>334.87166666666667</v>
      </c>
      <c r="J74" s="17">
        <v>75</v>
      </c>
      <c r="K74" s="7">
        <f t="shared" si="33"/>
        <v>35.699999999999996</v>
      </c>
      <c r="L74" s="7">
        <f t="shared" si="34"/>
        <v>28</v>
      </c>
      <c r="M74" s="7">
        <f t="shared" si="35"/>
        <v>25.2</v>
      </c>
      <c r="N74" s="7">
        <f t="shared" si="50"/>
        <v>2.1008403361344539</v>
      </c>
      <c r="O74" s="7">
        <f t="shared" si="51"/>
        <v>2.6785714285714284</v>
      </c>
      <c r="P74" s="4">
        <f t="shared" si="52"/>
        <v>2.9761904761904763</v>
      </c>
      <c r="Q74" s="4">
        <f t="shared" si="53"/>
        <v>238.48084033613446</v>
      </c>
      <c r="R74" s="4">
        <f t="shared" si="54"/>
        <v>304.06307142857139</v>
      </c>
      <c r="S74" s="4">
        <f t="shared" si="55"/>
        <v>337.84785714285715</v>
      </c>
    </row>
    <row r="75" spans="1:19" ht="33" customHeight="1" x14ac:dyDescent="0.25">
      <c r="A75" s="5">
        <v>73</v>
      </c>
      <c r="B75" s="2" t="s">
        <v>26</v>
      </c>
      <c r="C75" s="16" t="s">
        <v>56</v>
      </c>
      <c r="D75" s="1">
        <v>130</v>
      </c>
      <c r="E75" s="7">
        <v>2.23</v>
      </c>
      <c r="F75" s="7">
        <f t="shared" si="46"/>
        <v>289.89999999999998</v>
      </c>
      <c r="G75" s="8">
        <f t="shared" si="47"/>
        <v>289.89999999999998</v>
      </c>
      <c r="H75" s="4">
        <f t="shared" si="48"/>
        <v>369.62249999999995</v>
      </c>
      <c r="I75" s="4">
        <f t="shared" si="49"/>
        <v>410.69166666666666</v>
      </c>
      <c r="J75" s="17">
        <v>75</v>
      </c>
      <c r="K75" s="7">
        <f t="shared" si="33"/>
        <v>35.699999999999996</v>
      </c>
      <c r="L75" s="7">
        <f t="shared" si="34"/>
        <v>28</v>
      </c>
      <c r="M75" s="7">
        <f t="shared" si="35"/>
        <v>25.2</v>
      </c>
      <c r="N75" s="7">
        <f t="shared" si="50"/>
        <v>2.1008403361344539</v>
      </c>
      <c r="O75" s="7">
        <f t="shared" si="51"/>
        <v>2.6785714285714284</v>
      </c>
      <c r="P75" s="4">
        <f t="shared" si="52"/>
        <v>2.9761904761904763</v>
      </c>
      <c r="Q75" s="4">
        <f t="shared" si="53"/>
        <v>292.00084033613444</v>
      </c>
      <c r="R75" s="4">
        <f t="shared" si="54"/>
        <v>372.30107142857139</v>
      </c>
      <c r="S75" s="4">
        <f t="shared" si="55"/>
        <v>413.66785714285714</v>
      </c>
    </row>
    <row r="76" spans="1:19" ht="33" customHeight="1" x14ac:dyDescent="0.25">
      <c r="A76" s="5">
        <v>74</v>
      </c>
      <c r="B76" s="2" t="s">
        <v>27</v>
      </c>
      <c r="C76" s="16" t="s">
        <v>57</v>
      </c>
      <c r="D76" s="1">
        <v>137</v>
      </c>
      <c r="E76" s="7">
        <v>2.23</v>
      </c>
      <c r="F76" s="7">
        <f t="shared" si="46"/>
        <v>305.51</v>
      </c>
      <c r="G76" s="8">
        <f t="shared" si="47"/>
        <v>305.51</v>
      </c>
      <c r="H76" s="4">
        <f t="shared" si="48"/>
        <v>389.52524999999997</v>
      </c>
      <c r="I76" s="4">
        <f t="shared" si="49"/>
        <v>432.80583333333334</v>
      </c>
      <c r="J76" s="17">
        <v>75</v>
      </c>
      <c r="K76" s="7">
        <f t="shared" si="33"/>
        <v>35.699999999999996</v>
      </c>
      <c r="L76" s="7">
        <f t="shared" si="34"/>
        <v>28</v>
      </c>
      <c r="M76" s="7">
        <f t="shared" si="35"/>
        <v>25.2</v>
      </c>
      <c r="N76" s="7">
        <f t="shared" si="50"/>
        <v>2.1008403361344539</v>
      </c>
      <c r="O76" s="7">
        <f t="shared" si="51"/>
        <v>2.6785714285714284</v>
      </c>
      <c r="P76" s="4">
        <f t="shared" si="52"/>
        <v>2.9761904761904763</v>
      </c>
      <c r="Q76" s="4">
        <f t="shared" si="53"/>
        <v>307.61084033613446</v>
      </c>
      <c r="R76" s="4">
        <f t="shared" si="54"/>
        <v>392.20382142857142</v>
      </c>
      <c r="S76" s="4">
        <f t="shared" si="55"/>
        <v>435.78202380952382</v>
      </c>
    </row>
    <row r="77" spans="1:19" ht="33" customHeight="1" x14ac:dyDescent="0.25">
      <c r="A77" s="5">
        <v>75</v>
      </c>
      <c r="B77" s="2" t="s">
        <v>28</v>
      </c>
      <c r="C77" s="16" t="s">
        <v>58</v>
      </c>
      <c r="D77" s="1">
        <v>106</v>
      </c>
      <c r="E77" s="7">
        <v>2.23</v>
      </c>
      <c r="F77" s="7">
        <f t="shared" si="46"/>
        <v>236.38</v>
      </c>
      <c r="G77" s="8">
        <f t="shared" si="47"/>
        <v>236.38</v>
      </c>
      <c r="H77" s="4">
        <f t="shared" si="48"/>
        <v>301.38449999999995</v>
      </c>
      <c r="I77" s="4">
        <f t="shared" si="49"/>
        <v>334.87166666666667</v>
      </c>
      <c r="J77" s="17">
        <v>75</v>
      </c>
      <c r="K77" s="7">
        <f t="shared" si="33"/>
        <v>35.699999999999996</v>
      </c>
      <c r="L77" s="7">
        <f t="shared" si="34"/>
        <v>28</v>
      </c>
      <c r="M77" s="7">
        <f t="shared" si="35"/>
        <v>25.2</v>
      </c>
      <c r="N77" s="7">
        <f t="shared" si="50"/>
        <v>2.1008403361344539</v>
      </c>
      <c r="O77" s="7">
        <f t="shared" si="51"/>
        <v>2.6785714285714284</v>
      </c>
      <c r="P77" s="4">
        <f t="shared" si="52"/>
        <v>2.9761904761904763</v>
      </c>
      <c r="Q77" s="4">
        <f t="shared" si="53"/>
        <v>238.48084033613446</v>
      </c>
      <c r="R77" s="4">
        <f t="shared" si="54"/>
        <v>304.06307142857139</v>
      </c>
      <c r="S77" s="4">
        <f t="shared" si="55"/>
        <v>337.84785714285715</v>
      </c>
    </row>
    <row r="78" spans="1:19" ht="33" customHeight="1" x14ac:dyDescent="0.25">
      <c r="A78" s="5">
        <v>76</v>
      </c>
      <c r="B78" s="2" t="s">
        <v>36</v>
      </c>
      <c r="C78" s="16" t="s">
        <v>394</v>
      </c>
      <c r="D78" s="1">
        <v>55</v>
      </c>
      <c r="E78" s="7">
        <v>2.23</v>
      </c>
      <c r="F78" s="7">
        <f t="shared" si="46"/>
        <v>122.65</v>
      </c>
      <c r="G78" s="8">
        <f t="shared" si="47"/>
        <v>122.65</v>
      </c>
      <c r="H78" s="4">
        <f t="shared" si="48"/>
        <v>156.37875</v>
      </c>
      <c r="I78" s="4">
        <f t="shared" si="49"/>
        <v>173.75416666666669</v>
      </c>
      <c r="J78" s="17">
        <v>75</v>
      </c>
      <c r="K78" s="7">
        <f t="shared" si="33"/>
        <v>35.699999999999996</v>
      </c>
      <c r="L78" s="7">
        <f t="shared" si="34"/>
        <v>28</v>
      </c>
      <c r="M78" s="7">
        <f t="shared" si="35"/>
        <v>25.2</v>
      </c>
      <c r="N78" s="7">
        <f t="shared" si="50"/>
        <v>2.1008403361344539</v>
      </c>
      <c r="O78" s="7">
        <f t="shared" si="51"/>
        <v>2.6785714285714284</v>
      </c>
      <c r="P78" s="4">
        <f t="shared" si="52"/>
        <v>2.9761904761904763</v>
      </c>
      <c r="Q78" s="4">
        <f t="shared" si="53"/>
        <v>124.75084033613446</v>
      </c>
      <c r="R78" s="4">
        <f t="shared" si="54"/>
        <v>159.05732142857141</v>
      </c>
      <c r="S78" s="4">
        <f t="shared" si="55"/>
        <v>176.73035714285717</v>
      </c>
    </row>
    <row r="79" spans="1:19" ht="33" customHeight="1" x14ac:dyDescent="0.25">
      <c r="A79" s="5">
        <v>77</v>
      </c>
      <c r="B79" s="2" t="s">
        <v>37</v>
      </c>
      <c r="C79" s="16" t="s">
        <v>65</v>
      </c>
      <c r="D79" s="1">
        <v>140</v>
      </c>
      <c r="E79" s="7">
        <v>2.23</v>
      </c>
      <c r="F79" s="7">
        <f t="shared" si="46"/>
        <v>312.2</v>
      </c>
      <c r="G79" s="8">
        <f t="shared" si="47"/>
        <v>312.2</v>
      </c>
      <c r="H79" s="4">
        <f t="shared" si="48"/>
        <v>398.05499999999995</v>
      </c>
      <c r="I79" s="4">
        <f t="shared" si="49"/>
        <v>442.2833333333333</v>
      </c>
      <c r="J79" s="17">
        <v>75</v>
      </c>
      <c r="K79" s="7">
        <f t="shared" si="33"/>
        <v>35.699999999999996</v>
      </c>
      <c r="L79" s="7">
        <f t="shared" si="34"/>
        <v>28</v>
      </c>
      <c r="M79" s="7">
        <f t="shared" si="35"/>
        <v>25.2</v>
      </c>
      <c r="N79" s="7">
        <f t="shared" si="50"/>
        <v>2.1008403361344539</v>
      </c>
      <c r="O79" s="7">
        <f t="shared" si="51"/>
        <v>2.6785714285714284</v>
      </c>
      <c r="P79" s="4">
        <f t="shared" si="52"/>
        <v>2.9761904761904763</v>
      </c>
      <c r="Q79" s="4">
        <f t="shared" si="53"/>
        <v>314.30084033613446</v>
      </c>
      <c r="R79" s="4">
        <f t="shared" si="54"/>
        <v>400.73357142857139</v>
      </c>
      <c r="S79" s="4">
        <f t="shared" si="55"/>
        <v>445.25952380952378</v>
      </c>
    </row>
    <row r="80" spans="1:19" ht="33" hidden="1" customHeight="1" x14ac:dyDescent="0.25">
      <c r="A80" s="5">
        <v>78</v>
      </c>
      <c r="B80" s="5">
        <v>48</v>
      </c>
      <c r="C80" s="6" t="s">
        <v>123</v>
      </c>
      <c r="D80" s="5">
        <v>242</v>
      </c>
      <c r="E80" s="7">
        <v>2.23</v>
      </c>
      <c r="F80" s="7">
        <f t="shared" si="23"/>
        <v>539.66</v>
      </c>
      <c r="G80" s="8">
        <f t="shared" si="32"/>
        <v>539.66</v>
      </c>
      <c r="H80" s="4">
        <f t="shared" si="24"/>
        <v>688.06649999999991</v>
      </c>
      <c r="I80" s="4">
        <f t="shared" si="25"/>
        <v>764.51833333333332</v>
      </c>
      <c r="J80" s="17">
        <v>450</v>
      </c>
      <c r="K80" s="7">
        <f t="shared" si="33"/>
        <v>35.699999999999996</v>
      </c>
      <c r="L80" s="7">
        <f t="shared" si="34"/>
        <v>28</v>
      </c>
      <c r="M80" s="7">
        <f t="shared" si="35"/>
        <v>25.2</v>
      </c>
      <c r="N80" s="7">
        <f t="shared" si="26"/>
        <v>12.605042016806724</v>
      </c>
      <c r="O80" s="7">
        <f t="shared" si="27"/>
        <v>16.071428571428573</v>
      </c>
      <c r="P80" s="4">
        <f t="shared" si="28"/>
        <v>17.857142857142858</v>
      </c>
      <c r="Q80" s="4">
        <f t="shared" si="29"/>
        <v>552.26504201680666</v>
      </c>
      <c r="R80" s="4">
        <f t="shared" si="30"/>
        <v>704.13792857142846</v>
      </c>
      <c r="S80" s="4">
        <f t="shared" si="31"/>
        <v>782.37547619047621</v>
      </c>
    </row>
    <row r="81" spans="1:19" ht="33" hidden="1" customHeight="1" x14ac:dyDescent="0.25">
      <c r="A81" s="5">
        <v>79</v>
      </c>
      <c r="B81" s="5">
        <v>49</v>
      </c>
      <c r="C81" s="6" t="s">
        <v>124</v>
      </c>
      <c r="D81" s="5">
        <v>396</v>
      </c>
      <c r="E81" s="7">
        <v>2.23</v>
      </c>
      <c r="F81" s="7">
        <f t="shared" si="23"/>
        <v>883.08</v>
      </c>
      <c r="G81" s="8">
        <f t="shared" si="32"/>
        <v>883.08</v>
      </c>
      <c r="H81" s="4">
        <f t="shared" si="24"/>
        <v>1125.9269999999999</v>
      </c>
      <c r="I81" s="4">
        <f t="shared" si="25"/>
        <v>1251.03</v>
      </c>
      <c r="J81" s="17">
        <v>605</v>
      </c>
      <c r="K81" s="7">
        <f t="shared" si="33"/>
        <v>35.699999999999996</v>
      </c>
      <c r="L81" s="7">
        <f t="shared" si="34"/>
        <v>28</v>
      </c>
      <c r="M81" s="7">
        <f t="shared" si="35"/>
        <v>25.2</v>
      </c>
      <c r="N81" s="7">
        <f t="shared" si="26"/>
        <v>16.946778711484598</v>
      </c>
      <c r="O81" s="7">
        <f t="shared" si="27"/>
        <v>21.607142857142858</v>
      </c>
      <c r="P81" s="4">
        <f t="shared" si="28"/>
        <v>24.00793650793651</v>
      </c>
      <c r="Q81" s="4">
        <f t="shared" si="29"/>
        <v>900.02677871148467</v>
      </c>
      <c r="R81" s="4">
        <f t="shared" si="30"/>
        <v>1147.5341428571428</v>
      </c>
      <c r="S81" s="4">
        <f t="shared" si="31"/>
        <v>1275.0379365079366</v>
      </c>
    </row>
    <row r="82" spans="1:19" ht="33" hidden="1" customHeight="1" x14ac:dyDescent="0.25">
      <c r="A82" s="5">
        <v>80</v>
      </c>
      <c r="B82" s="5">
        <v>50</v>
      </c>
      <c r="C82" s="6" t="s">
        <v>125</v>
      </c>
      <c r="D82" s="5">
        <v>462</v>
      </c>
      <c r="E82" s="7">
        <v>2.23</v>
      </c>
      <c r="F82" s="7">
        <f t="shared" si="23"/>
        <v>1030.26</v>
      </c>
      <c r="G82" s="8">
        <f t="shared" si="32"/>
        <v>1030.26</v>
      </c>
      <c r="H82" s="4">
        <f t="shared" si="24"/>
        <v>1313.5815</v>
      </c>
      <c r="I82" s="4">
        <f t="shared" si="25"/>
        <v>1459.5350000000001</v>
      </c>
      <c r="J82" s="17">
        <v>605</v>
      </c>
      <c r="K82" s="7">
        <f t="shared" si="33"/>
        <v>35.699999999999996</v>
      </c>
      <c r="L82" s="7">
        <f t="shared" si="34"/>
        <v>28</v>
      </c>
      <c r="M82" s="7">
        <f t="shared" si="35"/>
        <v>25.2</v>
      </c>
      <c r="N82" s="7">
        <f t="shared" si="26"/>
        <v>16.946778711484598</v>
      </c>
      <c r="O82" s="7">
        <f t="shared" si="27"/>
        <v>21.607142857142858</v>
      </c>
      <c r="P82" s="4">
        <f t="shared" si="28"/>
        <v>24.00793650793651</v>
      </c>
      <c r="Q82" s="4">
        <f t="shared" si="29"/>
        <v>1047.2067787114845</v>
      </c>
      <c r="R82" s="4">
        <f t="shared" si="30"/>
        <v>1335.1886428571429</v>
      </c>
      <c r="S82" s="4">
        <f t="shared" si="31"/>
        <v>1483.5429365079367</v>
      </c>
    </row>
    <row r="83" spans="1:19" ht="33" hidden="1" customHeight="1" x14ac:dyDescent="0.25">
      <c r="A83" s="5">
        <v>81</v>
      </c>
      <c r="B83" s="5">
        <v>51</v>
      </c>
      <c r="C83" s="6" t="s">
        <v>126</v>
      </c>
      <c r="D83" s="5">
        <v>307</v>
      </c>
      <c r="E83" s="7">
        <v>2.23</v>
      </c>
      <c r="F83" s="7">
        <f t="shared" si="23"/>
        <v>684.61</v>
      </c>
      <c r="G83" s="8">
        <f t="shared" si="32"/>
        <v>684.61</v>
      </c>
      <c r="H83" s="4">
        <f t="shared" si="24"/>
        <v>872.87774999999999</v>
      </c>
      <c r="I83" s="4">
        <f t="shared" si="25"/>
        <v>969.86416666666673</v>
      </c>
      <c r="J83" s="17">
        <v>450</v>
      </c>
      <c r="K83" s="7">
        <f t="shared" si="33"/>
        <v>35.699999999999996</v>
      </c>
      <c r="L83" s="7">
        <f t="shared" si="34"/>
        <v>28</v>
      </c>
      <c r="M83" s="7">
        <f t="shared" si="35"/>
        <v>25.2</v>
      </c>
      <c r="N83" s="7">
        <f t="shared" si="26"/>
        <v>12.605042016806724</v>
      </c>
      <c r="O83" s="7">
        <f t="shared" si="27"/>
        <v>16.071428571428573</v>
      </c>
      <c r="P83" s="4">
        <f t="shared" si="28"/>
        <v>17.857142857142858</v>
      </c>
      <c r="Q83" s="4">
        <f t="shared" si="29"/>
        <v>697.21504201680671</v>
      </c>
      <c r="R83" s="4">
        <f t="shared" si="30"/>
        <v>888.94917857142855</v>
      </c>
      <c r="S83" s="4">
        <f t="shared" si="31"/>
        <v>987.72130952380962</v>
      </c>
    </row>
    <row r="84" spans="1:19" ht="33" hidden="1" customHeight="1" x14ac:dyDescent="0.25">
      <c r="A84" s="5">
        <v>82</v>
      </c>
      <c r="B84" s="5">
        <v>52</v>
      </c>
      <c r="C84" s="6" t="s">
        <v>127</v>
      </c>
      <c r="D84" s="5">
        <v>318</v>
      </c>
      <c r="E84" s="7">
        <v>2.23</v>
      </c>
      <c r="F84" s="7">
        <f t="shared" si="23"/>
        <v>709.14</v>
      </c>
      <c r="G84" s="8">
        <f t="shared" si="32"/>
        <v>709.14</v>
      </c>
      <c r="H84" s="4">
        <f t="shared" si="24"/>
        <v>904.15349999999989</v>
      </c>
      <c r="I84" s="4">
        <f t="shared" si="25"/>
        <v>1004.615</v>
      </c>
      <c r="J84" s="17">
        <v>450</v>
      </c>
      <c r="K84" s="7">
        <f t="shared" si="33"/>
        <v>35.699999999999996</v>
      </c>
      <c r="L84" s="7">
        <f t="shared" si="34"/>
        <v>28</v>
      </c>
      <c r="M84" s="7">
        <f t="shared" si="35"/>
        <v>25.2</v>
      </c>
      <c r="N84" s="7">
        <f t="shared" si="26"/>
        <v>12.605042016806724</v>
      </c>
      <c r="O84" s="7">
        <f t="shared" si="27"/>
        <v>16.071428571428573</v>
      </c>
      <c r="P84" s="4">
        <f t="shared" si="28"/>
        <v>17.857142857142858</v>
      </c>
      <c r="Q84" s="4">
        <f t="shared" si="29"/>
        <v>721.74504201680668</v>
      </c>
      <c r="R84" s="4">
        <f t="shared" si="30"/>
        <v>920.22492857142845</v>
      </c>
      <c r="S84" s="4">
        <f t="shared" si="31"/>
        <v>1022.4721428571429</v>
      </c>
    </row>
    <row r="85" spans="1:19" ht="33" hidden="1" customHeight="1" x14ac:dyDescent="0.25">
      <c r="A85" s="5">
        <v>83</v>
      </c>
      <c r="B85" s="5">
        <v>53</v>
      </c>
      <c r="C85" s="6" t="s">
        <v>128</v>
      </c>
      <c r="D85" s="5">
        <v>276</v>
      </c>
      <c r="E85" s="7">
        <v>2.23</v>
      </c>
      <c r="F85" s="7">
        <f t="shared" si="23"/>
        <v>615.48</v>
      </c>
      <c r="G85" s="8">
        <f t="shared" si="32"/>
        <v>615.48</v>
      </c>
      <c r="H85" s="4">
        <f t="shared" si="24"/>
        <v>784.73699999999997</v>
      </c>
      <c r="I85" s="4">
        <f t="shared" si="25"/>
        <v>871.93</v>
      </c>
      <c r="J85" s="17">
        <v>450</v>
      </c>
      <c r="K85" s="7">
        <f t="shared" si="33"/>
        <v>35.699999999999996</v>
      </c>
      <c r="L85" s="7">
        <f t="shared" si="34"/>
        <v>28</v>
      </c>
      <c r="M85" s="7">
        <f t="shared" si="35"/>
        <v>25.2</v>
      </c>
      <c r="N85" s="7">
        <f t="shared" si="26"/>
        <v>12.605042016806724</v>
      </c>
      <c r="O85" s="7">
        <f t="shared" si="27"/>
        <v>16.071428571428573</v>
      </c>
      <c r="P85" s="4">
        <f t="shared" si="28"/>
        <v>17.857142857142858</v>
      </c>
      <c r="Q85" s="4">
        <f t="shared" si="29"/>
        <v>628.08504201680671</v>
      </c>
      <c r="R85" s="4">
        <f t="shared" si="30"/>
        <v>800.80842857142852</v>
      </c>
      <c r="S85" s="4">
        <f t="shared" si="31"/>
        <v>889.78714285714284</v>
      </c>
    </row>
    <row r="86" spans="1:19" ht="33" hidden="1" customHeight="1" x14ac:dyDescent="0.25">
      <c r="A86" s="5">
        <v>84</v>
      </c>
      <c r="B86" s="5">
        <v>176</v>
      </c>
      <c r="C86" s="6" t="s">
        <v>129</v>
      </c>
      <c r="D86" s="5">
        <v>277</v>
      </c>
      <c r="E86" s="7">
        <v>2.23</v>
      </c>
      <c r="F86" s="7">
        <f t="shared" si="23"/>
        <v>617.71</v>
      </c>
      <c r="G86" s="8">
        <f t="shared" si="32"/>
        <v>617.71</v>
      </c>
      <c r="H86" s="4">
        <f t="shared" si="24"/>
        <v>787.58024999999998</v>
      </c>
      <c r="I86" s="4">
        <f t="shared" si="25"/>
        <v>875.08916666666676</v>
      </c>
      <c r="J86" s="17">
        <v>450</v>
      </c>
      <c r="K86" s="7">
        <f t="shared" si="33"/>
        <v>35.699999999999996</v>
      </c>
      <c r="L86" s="7">
        <f t="shared" si="34"/>
        <v>28</v>
      </c>
      <c r="M86" s="7">
        <f t="shared" si="35"/>
        <v>25.2</v>
      </c>
      <c r="N86" s="7">
        <f t="shared" si="26"/>
        <v>12.605042016806724</v>
      </c>
      <c r="O86" s="7">
        <f t="shared" si="27"/>
        <v>16.071428571428573</v>
      </c>
      <c r="P86" s="4">
        <f t="shared" si="28"/>
        <v>17.857142857142858</v>
      </c>
      <c r="Q86" s="4">
        <f t="shared" si="29"/>
        <v>630.31504201680673</v>
      </c>
      <c r="R86" s="4">
        <f t="shared" si="30"/>
        <v>803.65167857142853</v>
      </c>
      <c r="S86" s="4">
        <f t="shared" si="31"/>
        <v>892.94630952380965</v>
      </c>
    </row>
    <row r="87" spans="1:19" ht="33" hidden="1" customHeight="1" x14ac:dyDescent="0.25">
      <c r="A87" s="5">
        <v>85</v>
      </c>
      <c r="B87" s="5">
        <v>195</v>
      </c>
      <c r="C87" s="6" t="s">
        <v>130</v>
      </c>
      <c r="D87" s="5">
        <v>281</v>
      </c>
      <c r="E87" s="7">
        <v>2.23</v>
      </c>
      <c r="F87" s="7">
        <f t="shared" si="23"/>
        <v>626.63</v>
      </c>
      <c r="G87" s="8">
        <f t="shared" si="32"/>
        <v>626.63</v>
      </c>
      <c r="H87" s="4">
        <f t="shared" si="24"/>
        <v>798.95324999999991</v>
      </c>
      <c r="I87" s="4">
        <f t="shared" si="25"/>
        <v>887.72583333333341</v>
      </c>
      <c r="J87" s="17">
        <v>450</v>
      </c>
      <c r="K87" s="7">
        <f t="shared" si="33"/>
        <v>35.699999999999996</v>
      </c>
      <c r="L87" s="7">
        <f t="shared" si="34"/>
        <v>28</v>
      </c>
      <c r="M87" s="7">
        <f t="shared" si="35"/>
        <v>25.2</v>
      </c>
      <c r="N87" s="7">
        <f t="shared" si="26"/>
        <v>12.605042016806724</v>
      </c>
      <c r="O87" s="7">
        <f t="shared" si="27"/>
        <v>16.071428571428573</v>
      </c>
      <c r="P87" s="4">
        <f t="shared" si="28"/>
        <v>17.857142857142858</v>
      </c>
      <c r="Q87" s="4">
        <f t="shared" si="29"/>
        <v>639.23504201680669</v>
      </c>
      <c r="R87" s="4">
        <f t="shared" si="30"/>
        <v>815.02467857142847</v>
      </c>
      <c r="S87" s="4">
        <f t="shared" si="31"/>
        <v>905.5829761904763</v>
      </c>
    </row>
    <row r="88" spans="1:19" ht="33" hidden="1" customHeight="1" x14ac:dyDescent="0.25">
      <c r="A88" s="5">
        <v>86</v>
      </c>
      <c r="B88" s="5">
        <v>177</v>
      </c>
      <c r="C88" s="10" t="s">
        <v>395</v>
      </c>
      <c r="D88" s="5">
        <v>291</v>
      </c>
      <c r="E88" s="7">
        <v>2.23</v>
      </c>
      <c r="F88" s="7">
        <f t="shared" si="23"/>
        <v>648.92999999999995</v>
      </c>
      <c r="G88" s="8">
        <f t="shared" si="32"/>
        <v>648.92999999999995</v>
      </c>
      <c r="H88" s="4">
        <f t="shared" si="24"/>
        <v>827.38574999999992</v>
      </c>
      <c r="I88" s="4">
        <f t="shared" si="25"/>
        <v>919.3175</v>
      </c>
      <c r="J88" s="17">
        <v>450</v>
      </c>
      <c r="K88" s="7">
        <f t="shared" si="33"/>
        <v>35.699999999999996</v>
      </c>
      <c r="L88" s="7">
        <f t="shared" si="34"/>
        <v>28</v>
      </c>
      <c r="M88" s="7">
        <f t="shared" si="35"/>
        <v>25.2</v>
      </c>
      <c r="N88" s="7">
        <f t="shared" si="26"/>
        <v>12.605042016806724</v>
      </c>
      <c r="O88" s="7">
        <f t="shared" si="27"/>
        <v>16.071428571428573</v>
      </c>
      <c r="P88" s="4">
        <f t="shared" si="28"/>
        <v>17.857142857142858</v>
      </c>
      <c r="Q88" s="4">
        <f t="shared" si="29"/>
        <v>661.53504201680664</v>
      </c>
      <c r="R88" s="4">
        <f t="shared" si="30"/>
        <v>843.45717857142847</v>
      </c>
      <c r="S88" s="4">
        <f t="shared" si="31"/>
        <v>937.17464285714289</v>
      </c>
    </row>
    <row r="89" spans="1:19" ht="33" hidden="1" customHeight="1" x14ac:dyDescent="0.25">
      <c r="A89" s="5">
        <v>87</v>
      </c>
      <c r="B89" s="5">
        <v>205</v>
      </c>
      <c r="C89" s="6" t="s">
        <v>131</v>
      </c>
      <c r="D89" s="5">
        <v>286</v>
      </c>
      <c r="E89" s="7">
        <v>2.23</v>
      </c>
      <c r="F89" s="7">
        <f t="shared" si="23"/>
        <v>637.78</v>
      </c>
      <c r="G89" s="8">
        <f t="shared" si="32"/>
        <v>637.78</v>
      </c>
      <c r="H89" s="4">
        <f t="shared" si="24"/>
        <v>813.16949999999986</v>
      </c>
      <c r="I89" s="4">
        <f t="shared" si="25"/>
        <v>903.52166666666665</v>
      </c>
      <c r="J89" s="17">
        <v>450</v>
      </c>
      <c r="K89" s="7">
        <f t="shared" si="33"/>
        <v>35.699999999999996</v>
      </c>
      <c r="L89" s="7">
        <f t="shared" si="34"/>
        <v>28</v>
      </c>
      <c r="M89" s="7">
        <f t="shared" si="35"/>
        <v>25.2</v>
      </c>
      <c r="N89" s="7">
        <f t="shared" si="26"/>
        <v>12.605042016806724</v>
      </c>
      <c r="O89" s="7">
        <f t="shared" si="27"/>
        <v>16.071428571428573</v>
      </c>
      <c r="P89" s="4">
        <f t="shared" si="28"/>
        <v>17.857142857142858</v>
      </c>
      <c r="Q89" s="4">
        <f t="shared" si="29"/>
        <v>650.38504201680666</v>
      </c>
      <c r="R89" s="4">
        <f t="shared" si="30"/>
        <v>829.24092857142841</v>
      </c>
      <c r="S89" s="4">
        <f t="shared" si="31"/>
        <v>921.37880952380954</v>
      </c>
    </row>
    <row r="90" spans="1:19" ht="33" hidden="1" customHeight="1" x14ac:dyDescent="0.25">
      <c r="A90" s="5">
        <v>88</v>
      </c>
      <c r="B90" s="5">
        <v>18</v>
      </c>
      <c r="C90" s="6" t="s">
        <v>132</v>
      </c>
      <c r="D90" s="5">
        <v>102</v>
      </c>
      <c r="E90" s="7">
        <v>2.23</v>
      </c>
      <c r="F90" s="7">
        <f t="shared" si="23"/>
        <v>227.46</v>
      </c>
      <c r="G90" s="8">
        <f t="shared" si="32"/>
        <v>227.46</v>
      </c>
      <c r="H90" s="4">
        <f t="shared" si="24"/>
        <v>290.01150000000001</v>
      </c>
      <c r="I90" s="4">
        <f t="shared" si="25"/>
        <v>322.23500000000001</v>
      </c>
      <c r="J90" s="17">
        <v>450</v>
      </c>
      <c r="K90" s="7">
        <f t="shared" si="33"/>
        <v>35.699999999999996</v>
      </c>
      <c r="L90" s="7">
        <f t="shared" si="34"/>
        <v>28</v>
      </c>
      <c r="M90" s="7">
        <f t="shared" si="35"/>
        <v>25.2</v>
      </c>
      <c r="N90" s="7">
        <f t="shared" si="26"/>
        <v>12.605042016806724</v>
      </c>
      <c r="O90" s="7">
        <f t="shared" si="27"/>
        <v>16.071428571428573</v>
      </c>
      <c r="P90" s="4">
        <f t="shared" si="28"/>
        <v>17.857142857142858</v>
      </c>
      <c r="Q90" s="4">
        <f t="shared" si="29"/>
        <v>240.06504201680673</v>
      </c>
      <c r="R90" s="4">
        <f t="shared" si="30"/>
        <v>306.08292857142857</v>
      </c>
      <c r="S90" s="4">
        <f t="shared" si="31"/>
        <v>340.09214285714285</v>
      </c>
    </row>
    <row r="91" spans="1:19" ht="33" hidden="1" customHeight="1" x14ac:dyDescent="0.25">
      <c r="A91" s="5">
        <v>89</v>
      </c>
      <c r="B91" s="5">
        <v>19</v>
      </c>
      <c r="C91" s="6" t="s">
        <v>133</v>
      </c>
      <c r="D91" s="5">
        <v>115</v>
      </c>
      <c r="E91" s="7">
        <v>2.23</v>
      </c>
      <c r="F91" s="7">
        <f t="shared" si="23"/>
        <v>256.45</v>
      </c>
      <c r="G91" s="8">
        <f t="shared" si="32"/>
        <v>256.45</v>
      </c>
      <c r="H91" s="4">
        <f t="shared" si="24"/>
        <v>326.97374999999994</v>
      </c>
      <c r="I91" s="4">
        <f t="shared" si="25"/>
        <v>363.30416666666662</v>
      </c>
      <c r="J91" s="17">
        <v>450</v>
      </c>
      <c r="K91" s="7">
        <f t="shared" si="33"/>
        <v>35.699999999999996</v>
      </c>
      <c r="L91" s="7">
        <f t="shared" si="34"/>
        <v>28</v>
      </c>
      <c r="M91" s="7">
        <f t="shared" si="35"/>
        <v>25.2</v>
      </c>
      <c r="N91" s="7">
        <f t="shared" si="26"/>
        <v>12.605042016806724</v>
      </c>
      <c r="O91" s="7">
        <f t="shared" si="27"/>
        <v>16.071428571428573</v>
      </c>
      <c r="P91" s="4">
        <f t="shared" si="28"/>
        <v>17.857142857142858</v>
      </c>
      <c r="Q91" s="4">
        <f t="shared" si="29"/>
        <v>269.05504201680674</v>
      </c>
      <c r="R91" s="4">
        <f t="shared" si="30"/>
        <v>343.04517857142849</v>
      </c>
      <c r="S91" s="4">
        <f t="shared" si="31"/>
        <v>381.16130952380945</v>
      </c>
    </row>
    <row r="92" spans="1:19" ht="33" hidden="1" customHeight="1" x14ac:dyDescent="0.25">
      <c r="A92" s="5">
        <v>90</v>
      </c>
      <c r="B92" s="5">
        <v>20</v>
      </c>
      <c r="C92" s="6" t="s">
        <v>134</v>
      </c>
      <c r="D92" s="5">
        <v>65</v>
      </c>
      <c r="E92" s="7">
        <v>2.23</v>
      </c>
      <c r="F92" s="7">
        <f t="shared" si="23"/>
        <v>144.94999999999999</v>
      </c>
      <c r="G92" s="8">
        <f t="shared" si="32"/>
        <v>144.94999999999999</v>
      </c>
      <c r="H92" s="4">
        <f t="shared" si="24"/>
        <v>184.81124999999997</v>
      </c>
      <c r="I92" s="4">
        <f t="shared" si="25"/>
        <v>205.34583333333333</v>
      </c>
      <c r="J92" s="17">
        <v>450</v>
      </c>
      <c r="K92" s="7">
        <f t="shared" si="33"/>
        <v>35.699999999999996</v>
      </c>
      <c r="L92" s="7">
        <f t="shared" si="34"/>
        <v>28</v>
      </c>
      <c r="M92" s="7">
        <f t="shared" si="35"/>
        <v>25.2</v>
      </c>
      <c r="N92" s="7">
        <f t="shared" si="26"/>
        <v>12.605042016806724</v>
      </c>
      <c r="O92" s="7">
        <f t="shared" si="27"/>
        <v>16.071428571428573</v>
      </c>
      <c r="P92" s="4">
        <f t="shared" si="28"/>
        <v>17.857142857142858</v>
      </c>
      <c r="Q92" s="4">
        <f t="shared" si="29"/>
        <v>157.55504201680671</v>
      </c>
      <c r="R92" s="4">
        <f t="shared" si="30"/>
        <v>200.88267857142856</v>
      </c>
      <c r="S92" s="4">
        <f t="shared" si="31"/>
        <v>223.20297619047619</v>
      </c>
    </row>
    <row r="93" spans="1:19" ht="33" hidden="1" customHeight="1" x14ac:dyDescent="0.25">
      <c r="A93" s="5">
        <v>91</v>
      </c>
      <c r="B93" s="5">
        <v>21</v>
      </c>
      <c r="C93" s="6" t="s">
        <v>135</v>
      </c>
      <c r="D93" s="5">
        <v>89</v>
      </c>
      <c r="E93" s="7">
        <v>2.23</v>
      </c>
      <c r="F93" s="7">
        <f t="shared" si="23"/>
        <v>198.47</v>
      </c>
      <c r="G93" s="8">
        <f t="shared" si="32"/>
        <v>198.47</v>
      </c>
      <c r="H93" s="4">
        <f t="shared" si="24"/>
        <v>253.04924999999997</v>
      </c>
      <c r="I93" s="4">
        <f t="shared" si="25"/>
        <v>281.1658333333333</v>
      </c>
      <c r="J93" s="17">
        <v>450</v>
      </c>
      <c r="K93" s="7">
        <f t="shared" si="33"/>
        <v>35.699999999999996</v>
      </c>
      <c r="L93" s="7">
        <f t="shared" si="34"/>
        <v>28</v>
      </c>
      <c r="M93" s="7">
        <f t="shared" si="35"/>
        <v>25.2</v>
      </c>
      <c r="N93" s="7">
        <f t="shared" si="26"/>
        <v>12.605042016806724</v>
      </c>
      <c r="O93" s="7">
        <f t="shared" si="27"/>
        <v>16.071428571428573</v>
      </c>
      <c r="P93" s="4">
        <f t="shared" si="28"/>
        <v>17.857142857142858</v>
      </c>
      <c r="Q93" s="4">
        <f t="shared" si="29"/>
        <v>211.07504201680672</v>
      </c>
      <c r="R93" s="4">
        <f t="shared" si="30"/>
        <v>269.12067857142853</v>
      </c>
      <c r="S93" s="4">
        <f t="shared" si="31"/>
        <v>299.02297619047613</v>
      </c>
    </row>
    <row r="94" spans="1:19" ht="33" hidden="1" customHeight="1" x14ac:dyDescent="0.25">
      <c r="A94" s="5">
        <v>92</v>
      </c>
      <c r="B94" s="5">
        <v>23</v>
      </c>
      <c r="C94" s="6" t="s">
        <v>136</v>
      </c>
      <c r="D94" s="5">
        <v>103</v>
      </c>
      <c r="E94" s="7">
        <v>2.23</v>
      </c>
      <c r="F94" s="7">
        <f t="shared" si="23"/>
        <v>229.69</v>
      </c>
      <c r="G94" s="8">
        <f t="shared" si="32"/>
        <v>229.69</v>
      </c>
      <c r="H94" s="4">
        <f t="shared" si="24"/>
        <v>292.85474999999997</v>
      </c>
      <c r="I94" s="4">
        <f t="shared" si="25"/>
        <v>325.39416666666671</v>
      </c>
      <c r="J94" s="17">
        <v>200</v>
      </c>
      <c r="K94" s="7">
        <f t="shared" si="33"/>
        <v>35.699999999999996</v>
      </c>
      <c r="L94" s="7">
        <f t="shared" si="34"/>
        <v>28</v>
      </c>
      <c r="M94" s="7">
        <f t="shared" si="35"/>
        <v>25.2</v>
      </c>
      <c r="N94" s="7">
        <f t="shared" si="26"/>
        <v>5.6022408963585439</v>
      </c>
      <c r="O94" s="7">
        <f t="shared" si="27"/>
        <v>7.1428571428571432</v>
      </c>
      <c r="P94" s="4">
        <f t="shared" si="28"/>
        <v>7.9365079365079367</v>
      </c>
      <c r="Q94" s="4">
        <f t="shared" si="29"/>
        <v>235.29224089635855</v>
      </c>
      <c r="R94" s="4">
        <f t="shared" si="30"/>
        <v>299.99760714285713</v>
      </c>
      <c r="S94" s="4">
        <f t="shared" si="31"/>
        <v>333.33067460317466</v>
      </c>
    </row>
    <row r="95" spans="1:19" ht="33" hidden="1" customHeight="1" x14ac:dyDescent="0.25">
      <c r="A95" s="5">
        <v>93</v>
      </c>
      <c r="B95" s="5">
        <v>24</v>
      </c>
      <c r="C95" s="6" t="s">
        <v>137</v>
      </c>
      <c r="D95" s="5">
        <v>141</v>
      </c>
      <c r="E95" s="7">
        <v>2.23</v>
      </c>
      <c r="F95" s="7">
        <f t="shared" si="23"/>
        <v>314.43</v>
      </c>
      <c r="G95" s="8">
        <f t="shared" si="32"/>
        <v>314.43</v>
      </c>
      <c r="H95" s="4">
        <f t="shared" si="24"/>
        <v>400.89824999999996</v>
      </c>
      <c r="I95" s="4">
        <f t="shared" si="25"/>
        <v>445.4425</v>
      </c>
      <c r="J95" s="17">
        <v>200</v>
      </c>
      <c r="K95" s="7">
        <f t="shared" si="33"/>
        <v>35.699999999999996</v>
      </c>
      <c r="L95" s="7">
        <f t="shared" si="34"/>
        <v>28</v>
      </c>
      <c r="M95" s="7">
        <f t="shared" si="35"/>
        <v>25.2</v>
      </c>
      <c r="N95" s="7">
        <f t="shared" si="26"/>
        <v>5.6022408963585439</v>
      </c>
      <c r="O95" s="7">
        <f t="shared" si="27"/>
        <v>7.1428571428571432</v>
      </c>
      <c r="P95" s="4">
        <f t="shared" si="28"/>
        <v>7.9365079365079367</v>
      </c>
      <c r="Q95" s="4">
        <f t="shared" si="29"/>
        <v>320.03224089635853</v>
      </c>
      <c r="R95" s="4">
        <f t="shared" si="30"/>
        <v>408.04110714285713</v>
      </c>
      <c r="S95" s="4">
        <f t="shared" si="31"/>
        <v>453.37900793650795</v>
      </c>
    </row>
    <row r="96" spans="1:19" ht="33" hidden="1" customHeight="1" x14ac:dyDescent="0.25">
      <c r="A96" s="5">
        <v>94</v>
      </c>
      <c r="B96" s="5">
        <v>25</v>
      </c>
      <c r="C96" s="6" t="s">
        <v>138</v>
      </c>
      <c r="D96" s="5">
        <v>135</v>
      </c>
      <c r="E96" s="7">
        <v>2.23</v>
      </c>
      <c r="F96" s="7">
        <f t="shared" si="23"/>
        <v>301.05</v>
      </c>
      <c r="G96" s="8">
        <f t="shared" si="32"/>
        <v>301.05</v>
      </c>
      <c r="H96" s="4">
        <f t="shared" si="24"/>
        <v>383.83875</v>
      </c>
      <c r="I96" s="4">
        <f t="shared" si="25"/>
        <v>426.48750000000001</v>
      </c>
      <c r="J96" s="17">
        <v>200</v>
      </c>
      <c r="K96" s="7">
        <f t="shared" si="33"/>
        <v>35.699999999999996</v>
      </c>
      <c r="L96" s="7">
        <f t="shared" si="34"/>
        <v>28</v>
      </c>
      <c r="M96" s="7">
        <f t="shared" si="35"/>
        <v>25.2</v>
      </c>
      <c r="N96" s="7">
        <f t="shared" si="26"/>
        <v>5.6022408963585439</v>
      </c>
      <c r="O96" s="7">
        <f t="shared" si="27"/>
        <v>7.1428571428571432</v>
      </c>
      <c r="P96" s="4">
        <f t="shared" si="28"/>
        <v>7.9365079365079367</v>
      </c>
      <c r="Q96" s="4">
        <f t="shared" si="29"/>
        <v>306.65224089635853</v>
      </c>
      <c r="R96" s="4">
        <f t="shared" si="30"/>
        <v>390.98160714285717</v>
      </c>
      <c r="S96" s="4">
        <f t="shared" si="31"/>
        <v>434.42400793650796</v>
      </c>
    </row>
    <row r="97" spans="1:19" ht="33" hidden="1" customHeight="1" x14ac:dyDescent="0.25">
      <c r="A97" s="5">
        <v>95</v>
      </c>
      <c r="B97" s="5">
        <v>26</v>
      </c>
      <c r="C97" s="6" t="s">
        <v>139</v>
      </c>
      <c r="D97" s="5">
        <v>102</v>
      </c>
      <c r="E97" s="7">
        <v>2.23</v>
      </c>
      <c r="F97" s="7">
        <f t="shared" si="23"/>
        <v>227.46</v>
      </c>
      <c r="G97" s="8">
        <f t="shared" si="32"/>
        <v>227.46</v>
      </c>
      <c r="H97" s="4">
        <f t="shared" si="24"/>
        <v>290.01150000000001</v>
      </c>
      <c r="I97" s="4">
        <f t="shared" si="25"/>
        <v>322.23500000000001</v>
      </c>
      <c r="J97" s="17">
        <v>450</v>
      </c>
      <c r="K97" s="7">
        <f t="shared" si="33"/>
        <v>35.699999999999996</v>
      </c>
      <c r="L97" s="7">
        <f t="shared" si="34"/>
        <v>28</v>
      </c>
      <c r="M97" s="7">
        <f t="shared" si="35"/>
        <v>25.2</v>
      </c>
      <c r="N97" s="7">
        <f t="shared" si="26"/>
        <v>12.605042016806724</v>
      </c>
      <c r="O97" s="7">
        <f t="shared" si="27"/>
        <v>16.071428571428573</v>
      </c>
      <c r="P97" s="4">
        <f t="shared" si="28"/>
        <v>17.857142857142858</v>
      </c>
      <c r="Q97" s="4">
        <f t="shared" si="29"/>
        <v>240.06504201680673</v>
      </c>
      <c r="R97" s="4">
        <f t="shared" si="30"/>
        <v>306.08292857142857</v>
      </c>
      <c r="S97" s="4">
        <f t="shared" si="31"/>
        <v>340.09214285714285</v>
      </c>
    </row>
    <row r="98" spans="1:19" ht="33" hidden="1" customHeight="1" x14ac:dyDescent="0.25">
      <c r="A98" s="5">
        <v>96</v>
      </c>
      <c r="B98" s="5">
        <v>27</v>
      </c>
      <c r="C98" s="6" t="s">
        <v>140</v>
      </c>
      <c r="D98" s="5">
        <v>138</v>
      </c>
      <c r="E98" s="7">
        <v>2.23</v>
      </c>
      <c r="F98" s="7">
        <f t="shared" si="23"/>
        <v>307.74</v>
      </c>
      <c r="G98" s="8">
        <f t="shared" si="32"/>
        <v>307.74</v>
      </c>
      <c r="H98" s="4">
        <f t="shared" si="24"/>
        <v>392.36849999999998</v>
      </c>
      <c r="I98" s="4">
        <f t="shared" si="25"/>
        <v>435.96499999999997</v>
      </c>
      <c r="J98" s="17">
        <v>450</v>
      </c>
      <c r="K98" s="7">
        <f t="shared" si="33"/>
        <v>35.699999999999996</v>
      </c>
      <c r="L98" s="7">
        <f t="shared" si="34"/>
        <v>28</v>
      </c>
      <c r="M98" s="7">
        <f t="shared" si="35"/>
        <v>25.2</v>
      </c>
      <c r="N98" s="7">
        <f t="shared" si="26"/>
        <v>12.605042016806724</v>
      </c>
      <c r="O98" s="7">
        <f t="shared" si="27"/>
        <v>16.071428571428573</v>
      </c>
      <c r="P98" s="4">
        <f t="shared" si="28"/>
        <v>17.857142857142858</v>
      </c>
      <c r="Q98" s="4">
        <f t="shared" si="29"/>
        <v>320.34504201680676</v>
      </c>
      <c r="R98" s="4">
        <f t="shared" si="30"/>
        <v>408.43992857142854</v>
      </c>
      <c r="S98" s="4">
        <f t="shared" si="31"/>
        <v>453.82214285714281</v>
      </c>
    </row>
    <row r="99" spans="1:19" ht="33" hidden="1" customHeight="1" x14ac:dyDescent="0.25">
      <c r="A99" s="5">
        <v>97</v>
      </c>
      <c r="B99" s="5">
        <v>28</v>
      </c>
      <c r="C99" s="6" t="s">
        <v>141</v>
      </c>
      <c r="D99" s="5">
        <v>174</v>
      </c>
      <c r="E99" s="7">
        <v>2.23</v>
      </c>
      <c r="F99" s="7">
        <f t="shared" si="23"/>
        <v>388.02</v>
      </c>
      <c r="G99" s="8">
        <f t="shared" si="32"/>
        <v>388.02</v>
      </c>
      <c r="H99" s="4">
        <f t="shared" si="24"/>
        <v>494.72549999999995</v>
      </c>
      <c r="I99" s="4">
        <f t="shared" si="25"/>
        <v>549.69500000000005</v>
      </c>
      <c r="J99" s="17">
        <v>450</v>
      </c>
      <c r="K99" s="7">
        <f t="shared" si="33"/>
        <v>35.699999999999996</v>
      </c>
      <c r="L99" s="7">
        <f t="shared" si="34"/>
        <v>28</v>
      </c>
      <c r="M99" s="7">
        <f t="shared" si="35"/>
        <v>25.2</v>
      </c>
      <c r="N99" s="7">
        <f t="shared" si="26"/>
        <v>12.605042016806724</v>
      </c>
      <c r="O99" s="7">
        <f t="shared" si="27"/>
        <v>16.071428571428573</v>
      </c>
      <c r="P99" s="4">
        <f t="shared" si="28"/>
        <v>17.857142857142858</v>
      </c>
      <c r="Q99" s="4">
        <f t="shared" si="29"/>
        <v>400.62504201680673</v>
      </c>
      <c r="R99" s="4">
        <f t="shared" si="30"/>
        <v>510.79692857142851</v>
      </c>
      <c r="S99" s="4">
        <f t="shared" si="31"/>
        <v>567.55214285714294</v>
      </c>
    </row>
    <row r="100" spans="1:19" ht="33" hidden="1" customHeight="1" x14ac:dyDescent="0.25">
      <c r="A100" s="5">
        <v>98</v>
      </c>
      <c r="B100" s="5">
        <v>29</v>
      </c>
      <c r="C100" s="6" t="s">
        <v>142</v>
      </c>
      <c r="D100" s="5">
        <v>77</v>
      </c>
      <c r="E100" s="7">
        <v>2.23</v>
      </c>
      <c r="F100" s="7">
        <f t="shared" si="23"/>
        <v>171.71</v>
      </c>
      <c r="G100" s="8">
        <f t="shared" si="32"/>
        <v>171.71</v>
      </c>
      <c r="H100" s="4">
        <f t="shared" si="24"/>
        <v>218.93025</v>
      </c>
      <c r="I100" s="4">
        <f t="shared" si="25"/>
        <v>243.25583333333336</v>
      </c>
      <c r="J100" s="17">
        <v>450</v>
      </c>
      <c r="K100" s="7">
        <f t="shared" si="33"/>
        <v>35.699999999999996</v>
      </c>
      <c r="L100" s="7">
        <f t="shared" si="34"/>
        <v>28</v>
      </c>
      <c r="M100" s="7">
        <f t="shared" si="35"/>
        <v>25.2</v>
      </c>
      <c r="N100" s="7">
        <f t="shared" si="26"/>
        <v>12.605042016806724</v>
      </c>
      <c r="O100" s="7">
        <f t="shared" si="27"/>
        <v>16.071428571428573</v>
      </c>
      <c r="P100" s="4">
        <f t="shared" si="28"/>
        <v>17.857142857142858</v>
      </c>
      <c r="Q100" s="4">
        <f t="shared" si="29"/>
        <v>184.31504201680673</v>
      </c>
      <c r="R100" s="4">
        <f t="shared" si="30"/>
        <v>235.00167857142858</v>
      </c>
      <c r="S100" s="4">
        <f t="shared" si="31"/>
        <v>261.11297619047622</v>
      </c>
    </row>
    <row r="101" spans="1:19" ht="33" hidden="1" customHeight="1" x14ac:dyDescent="0.25">
      <c r="A101" s="5">
        <v>99</v>
      </c>
      <c r="B101" s="5">
        <v>30</v>
      </c>
      <c r="C101" s="6" t="s">
        <v>143</v>
      </c>
      <c r="D101" s="5">
        <v>194</v>
      </c>
      <c r="E101" s="7">
        <v>2.23</v>
      </c>
      <c r="F101" s="7">
        <f t="shared" si="23"/>
        <v>432.62</v>
      </c>
      <c r="G101" s="8">
        <f t="shared" si="32"/>
        <v>432.62</v>
      </c>
      <c r="H101" s="4">
        <f t="shared" si="24"/>
        <v>551.59050000000002</v>
      </c>
      <c r="I101" s="4">
        <f t="shared" si="25"/>
        <v>612.87833333333333</v>
      </c>
      <c r="J101" s="17">
        <v>450</v>
      </c>
      <c r="K101" s="7">
        <f t="shared" si="33"/>
        <v>35.699999999999996</v>
      </c>
      <c r="L101" s="7">
        <f t="shared" si="34"/>
        <v>28</v>
      </c>
      <c r="M101" s="7">
        <f t="shared" si="35"/>
        <v>25.2</v>
      </c>
      <c r="N101" s="7">
        <f t="shared" si="26"/>
        <v>12.605042016806724</v>
      </c>
      <c r="O101" s="7">
        <f t="shared" si="27"/>
        <v>16.071428571428573</v>
      </c>
      <c r="P101" s="4">
        <f t="shared" si="28"/>
        <v>17.857142857142858</v>
      </c>
      <c r="Q101" s="4">
        <f t="shared" si="29"/>
        <v>445.22504201680675</v>
      </c>
      <c r="R101" s="4">
        <f t="shared" si="30"/>
        <v>567.66192857142858</v>
      </c>
      <c r="S101" s="4">
        <f t="shared" si="31"/>
        <v>630.73547619047622</v>
      </c>
    </row>
    <row r="102" spans="1:19" ht="33" hidden="1" customHeight="1" x14ac:dyDescent="0.25">
      <c r="A102" s="5">
        <v>100</v>
      </c>
      <c r="B102" s="5">
        <v>31</v>
      </c>
      <c r="C102" s="6" t="s">
        <v>144</v>
      </c>
      <c r="D102" s="5">
        <v>154</v>
      </c>
      <c r="E102" s="7">
        <v>2.23</v>
      </c>
      <c r="F102" s="7">
        <f t="shared" si="23"/>
        <v>343.42</v>
      </c>
      <c r="G102" s="8">
        <f t="shared" si="32"/>
        <v>343.42</v>
      </c>
      <c r="H102" s="4">
        <f t="shared" si="24"/>
        <v>437.8605</v>
      </c>
      <c r="I102" s="4">
        <f t="shared" si="25"/>
        <v>486.51166666666671</v>
      </c>
      <c r="J102" s="17">
        <v>450</v>
      </c>
      <c r="K102" s="7">
        <f t="shared" si="33"/>
        <v>35.699999999999996</v>
      </c>
      <c r="L102" s="7">
        <f t="shared" si="34"/>
        <v>28</v>
      </c>
      <c r="M102" s="7">
        <f t="shared" si="35"/>
        <v>25.2</v>
      </c>
      <c r="N102" s="7">
        <f t="shared" si="26"/>
        <v>12.605042016806724</v>
      </c>
      <c r="O102" s="7">
        <f t="shared" si="27"/>
        <v>16.071428571428573</v>
      </c>
      <c r="P102" s="4">
        <f t="shared" si="28"/>
        <v>17.857142857142858</v>
      </c>
      <c r="Q102" s="4">
        <f t="shared" si="29"/>
        <v>356.02504201680676</v>
      </c>
      <c r="R102" s="4">
        <f t="shared" si="30"/>
        <v>453.93192857142856</v>
      </c>
      <c r="S102" s="4">
        <f t="shared" si="31"/>
        <v>504.36880952380955</v>
      </c>
    </row>
    <row r="103" spans="1:19" ht="33" hidden="1" customHeight="1" x14ac:dyDescent="0.25">
      <c r="A103" s="5">
        <v>101</v>
      </c>
      <c r="B103" s="5">
        <v>32</v>
      </c>
      <c r="C103" s="6" t="s">
        <v>145</v>
      </c>
      <c r="D103" s="5">
        <v>189</v>
      </c>
      <c r="E103" s="7">
        <v>2.23</v>
      </c>
      <c r="F103" s="7">
        <f t="shared" si="23"/>
        <v>421.46999999999997</v>
      </c>
      <c r="G103" s="8">
        <f t="shared" si="32"/>
        <v>421.46999999999997</v>
      </c>
      <c r="H103" s="4">
        <f t="shared" si="24"/>
        <v>537.37424999999996</v>
      </c>
      <c r="I103" s="4">
        <f t="shared" si="25"/>
        <v>597.08249999999998</v>
      </c>
      <c r="J103" s="17">
        <v>450</v>
      </c>
      <c r="K103" s="7">
        <f t="shared" si="33"/>
        <v>35.699999999999996</v>
      </c>
      <c r="L103" s="7">
        <f t="shared" si="34"/>
        <v>28</v>
      </c>
      <c r="M103" s="7">
        <f t="shared" si="35"/>
        <v>25.2</v>
      </c>
      <c r="N103" s="7">
        <f t="shared" si="26"/>
        <v>12.605042016806724</v>
      </c>
      <c r="O103" s="7">
        <f t="shared" si="27"/>
        <v>16.071428571428573</v>
      </c>
      <c r="P103" s="4">
        <f t="shared" si="28"/>
        <v>17.857142857142858</v>
      </c>
      <c r="Q103" s="4">
        <f t="shared" si="29"/>
        <v>434.07504201680672</v>
      </c>
      <c r="R103" s="4">
        <f t="shared" si="30"/>
        <v>553.44567857142852</v>
      </c>
      <c r="S103" s="4">
        <f t="shared" si="31"/>
        <v>614.93964285714287</v>
      </c>
    </row>
    <row r="104" spans="1:19" ht="33" hidden="1" customHeight="1" x14ac:dyDescent="0.25">
      <c r="A104" s="5">
        <v>102</v>
      </c>
      <c r="B104" s="5">
        <v>33</v>
      </c>
      <c r="C104" s="6" t="s">
        <v>146</v>
      </c>
      <c r="D104" s="5">
        <v>218</v>
      </c>
      <c r="E104" s="7">
        <v>2.23</v>
      </c>
      <c r="F104" s="7">
        <f t="shared" si="23"/>
        <v>486.14</v>
      </c>
      <c r="G104" s="8">
        <f t="shared" si="32"/>
        <v>486.14</v>
      </c>
      <c r="H104" s="4">
        <f t="shared" si="24"/>
        <v>619.82849999999996</v>
      </c>
      <c r="I104" s="4">
        <f t="shared" si="25"/>
        <v>688.69833333333327</v>
      </c>
      <c r="J104" s="17">
        <v>450</v>
      </c>
      <c r="K104" s="7">
        <f t="shared" si="33"/>
        <v>35.699999999999996</v>
      </c>
      <c r="L104" s="7">
        <f t="shared" si="34"/>
        <v>28</v>
      </c>
      <c r="M104" s="7">
        <f t="shared" si="35"/>
        <v>25.2</v>
      </c>
      <c r="N104" s="7">
        <f t="shared" si="26"/>
        <v>12.605042016806724</v>
      </c>
      <c r="O104" s="7">
        <f t="shared" si="27"/>
        <v>16.071428571428573</v>
      </c>
      <c r="P104" s="4">
        <f t="shared" si="28"/>
        <v>17.857142857142858</v>
      </c>
      <c r="Q104" s="4">
        <f t="shared" si="29"/>
        <v>498.74504201680674</v>
      </c>
      <c r="R104" s="4">
        <f t="shared" si="30"/>
        <v>635.89992857142852</v>
      </c>
      <c r="S104" s="4">
        <f t="shared" si="31"/>
        <v>706.55547619047616</v>
      </c>
    </row>
    <row r="105" spans="1:19" ht="33" hidden="1" customHeight="1" x14ac:dyDescent="0.25">
      <c r="A105" s="5">
        <v>103</v>
      </c>
      <c r="B105" s="5">
        <v>34</v>
      </c>
      <c r="C105" s="6" t="s">
        <v>147</v>
      </c>
      <c r="D105" s="5">
        <v>168</v>
      </c>
      <c r="E105" s="7">
        <v>2.23</v>
      </c>
      <c r="F105" s="7">
        <f t="shared" si="23"/>
        <v>374.64</v>
      </c>
      <c r="G105" s="8">
        <f t="shared" si="32"/>
        <v>374.64</v>
      </c>
      <c r="H105" s="4">
        <f t="shared" si="24"/>
        <v>477.66599999999994</v>
      </c>
      <c r="I105" s="4">
        <f t="shared" si="25"/>
        <v>530.74</v>
      </c>
      <c r="J105" s="17">
        <v>450</v>
      </c>
      <c r="K105" s="7">
        <f t="shared" si="33"/>
        <v>35.699999999999996</v>
      </c>
      <c r="L105" s="7">
        <f t="shared" si="34"/>
        <v>28</v>
      </c>
      <c r="M105" s="7">
        <f t="shared" si="35"/>
        <v>25.2</v>
      </c>
      <c r="N105" s="7">
        <f t="shared" si="26"/>
        <v>12.605042016806724</v>
      </c>
      <c r="O105" s="7">
        <f t="shared" si="27"/>
        <v>16.071428571428573</v>
      </c>
      <c r="P105" s="4">
        <f t="shared" si="28"/>
        <v>17.857142857142858</v>
      </c>
      <c r="Q105" s="4">
        <f t="shared" si="29"/>
        <v>387.24504201680674</v>
      </c>
      <c r="R105" s="4">
        <f t="shared" si="30"/>
        <v>493.7374285714285</v>
      </c>
      <c r="S105" s="4">
        <f t="shared" si="31"/>
        <v>548.5971428571429</v>
      </c>
    </row>
    <row r="106" spans="1:19" ht="33" hidden="1" customHeight="1" x14ac:dyDescent="0.25">
      <c r="A106" s="5">
        <v>104</v>
      </c>
      <c r="B106" s="5">
        <v>36</v>
      </c>
      <c r="C106" s="6" t="s">
        <v>148</v>
      </c>
      <c r="D106" s="5">
        <v>157</v>
      </c>
      <c r="E106" s="7">
        <v>2.23</v>
      </c>
      <c r="F106" s="7">
        <f t="shared" si="23"/>
        <v>350.11</v>
      </c>
      <c r="G106" s="8">
        <f t="shared" si="32"/>
        <v>350.11</v>
      </c>
      <c r="H106" s="4">
        <f t="shared" si="24"/>
        <v>446.39024999999998</v>
      </c>
      <c r="I106" s="4">
        <f t="shared" si="25"/>
        <v>495.98916666666668</v>
      </c>
      <c r="J106" s="17">
        <v>620</v>
      </c>
      <c r="K106" s="7">
        <f t="shared" si="33"/>
        <v>35.699999999999996</v>
      </c>
      <c r="L106" s="7">
        <f t="shared" si="34"/>
        <v>28</v>
      </c>
      <c r="M106" s="7">
        <f t="shared" si="35"/>
        <v>25.2</v>
      </c>
      <c r="N106" s="7">
        <f t="shared" si="26"/>
        <v>17.366946778711487</v>
      </c>
      <c r="O106" s="7">
        <f t="shared" si="27"/>
        <v>22.142857142857142</v>
      </c>
      <c r="P106" s="4">
        <f t="shared" si="28"/>
        <v>24.603174603174605</v>
      </c>
      <c r="Q106" s="4">
        <f t="shared" si="29"/>
        <v>367.47694677871152</v>
      </c>
      <c r="R106" s="4">
        <f t="shared" si="30"/>
        <v>468.53310714285715</v>
      </c>
      <c r="S106" s="4">
        <f t="shared" si="31"/>
        <v>520.59234126984131</v>
      </c>
    </row>
    <row r="107" spans="1:19" ht="33" hidden="1" customHeight="1" x14ac:dyDescent="0.25">
      <c r="A107" s="5">
        <v>105</v>
      </c>
      <c r="B107" s="5">
        <v>37</v>
      </c>
      <c r="C107" s="6" t="s">
        <v>149</v>
      </c>
      <c r="D107" s="5">
        <v>168</v>
      </c>
      <c r="E107" s="7">
        <v>2.23</v>
      </c>
      <c r="F107" s="7">
        <f t="shared" si="23"/>
        <v>374.64</v>
      </c>
      <c r="G107" s="8">
        <f t="shared" si="32"/>
        <v>374.64</v>
      </c>
      <c r="H107" s="4">
        <f t="shared" si="24"/>
        <v>477.66599999999994</v>
      </c>
      <c r="I107" s="4">
        <f t="shared" si="25"/>
        <v>530.74</v>
      </c>
      <c r="J107" s="17">
        <v>450</v>
      </c>
      <c r="K107" s="7">
        <f t="shared" si="33"/>
        <v>35.699999999999996</v>
      </c>
      <c r="L107" s="7">
        <f t="shared" si="34"/>
        <v>28</v>
      </c>
      <c r="M107" s="7">
        <f t="shared" si="35"/>
        <v>25.2</v>
      </c>
      <c r="N107" s="7">
        <f t="shared" si="26"/>
        <v>12.605042016806724</v>
      </c>
      <c r="O107" s="7">
        <f t="shared" si="27"/>
        <v>16.071428571428573</v>
      </c>
      <c r="P107" s="4">
        <f t="shared" si="28"/>
        <v>17.857142857142858</v>
      </c>
      <c r="Q107" s="4">
        <f t="shared" si="29"/>
        <v>387.24504201680674</v>
      </c>
      <c r="R107" s="4">
        <f t="shared" si="30"/>
        <v>493.7374285714285</v>
      </c>
      <c r="S107" s="4">
        <f t="shared" si="31"/>
        <v>548.5971428571429</v>
      </c>
    </row>
    <row r="108" spans="1:19" ht="33" hidden="1" customHeight="1" x14ac:dyDescent="0.25">
      <c r="A108" s="5">
        <v>106</v>
      </c>
      <c r="B108" s="5">
        <v>38</v>
      </c>
      <c r="C108" s="10" t="s">
        <v>150</v>
      </c>
      <c r="D108" s="5">
        <v>207</v>
      </c>
      <c r="E108" s="7">
        <v>2.23</v>
      </c>
      <c r="F108" s="7">
        <f t="shared" si="23"/>
        <v>461.61</v>
      </c>
      <c r="G108" s="8">
        <f t="shared" si="32"/>
        <v>461.61</v>
      </c>
      <c r="H108" s="4">
        <f t="shared" si="24"/>
        <v>588.55274999999995</v>
      </c>
      <c r="I108" s="4">
        <f t="shared" si="25"/>
        <v>653.94749999999999</v>
      </c>
      <c r="J108" s="17">
        <v>450</v>
      </c>
      <c r="K108" s="7">
        <f t="shared" si="33"/>
        <v>35.699999999999996</v>
      </c>
      <c r="L108" s="7">
        <f t="shared" si="34"/>
        <v>28</v>
      </c>
      <c r="M108" s="7">
        <f t="shared" si="35"/>
        <v>25.2</v>
      </c>
      <c r="N108" s="7">
        <f t="shared" si="26"/>
        <v>12.605042016806724</v>
      </c>
      <c r="O108" s="7">
        <f t="shared" si="27"/>
        <v>16.071428571428573</v>
      </c>
      <c r="P108" s="4">
        <f t="shared" si="28"/>
        <v>17.857142857142858</v>
      </c>
      <c r="Q108" s="4">
        <f t="shared" si="29"/>
        <v>474.21504201680676</v>
      </c>
      <c r="R108" s="4">
        <f t="shared" si="30"/>
        <v>604.6241785714285</v>
      </c>
      <c r="S108" s="4">
        <f t="shared" si="31"/>
        <v>671.80464285714288</v>
      </c>
    </row>
    <row r="109" spans="1:19" ht="33" hidden="1" customHeight="1" x14ac:dyDescent="0.25">
      <c r="A109" s="5">
        <v>107</v>
      </c>
      <c r="B109" s="5">
        <v>39</v>
      </c>
      <c r="C109" s="6" t="s">
        <v>151</v>
      </c>
      <c r="D109" s="5">
        <v>149</v>
      </c>
      <c r="E109" s="7">
        <v>2.23</v>
      </c>
      <c r="F109" s="7">
        <f t="shared" si="23"/>
        <v>332.27</v>
      </c>
      <c r="G109" s="8">
        <f t="shared" si="32"/>
        <v>332.27</v>
      </c>
      <c r="H109" s="4">
        <f t="shared" si="24"/>
        <v>423.64424999999994</v>
      </c>
      <c r="I109" s="4">
        <f t="shared" si="25"/>
        <v>470.71583333333336</v>
      </c>
      <c r="J109" s="17">
        <v>450</v>
      </c>
      <c r="K109" s="7">
        <f t="shared" si="33"/>
        <v>35.699999999999996</v>
      </c>
      <c r="L109" s="7">
        <f t="shared" si="34"/>
        <v>28</v>
      </c>
      <c r="M109" s="7">
        <f t="shared" si="35"/>
        <v>25.2</v>
      </c>
      <c r="N109" s="7">
        <f t="shared" si="26"/>
        <v>12.605042016806724</v>
      </c>
      <c r="O109" s="7">
        <f t="shared" si="27"/>
        <v>16.071428571428573</v>
      </c>
      <c r="P109" s="4">
        <f t="shared" si="28"/>
        <v>17.857142857142858</v>
      </c>
      <c r="Q109" s="4">
        <f t="shared" si="29"/>
        <v>344.87504201680673</v>
      </c>
      <c r="R109" s="4">
        <f t="shared" si="30"/>
        <v>439.7156785714285</v>
      </c>
      <c r="S109" s="4">
        <f t="shared" si="31"/>
        <v>488.5729761904762</v>
      </c>
    </row>
    <row r="110" spans="1:19" ht="33" hidden="1" customHeight="1" x14ac:dyDescent="0.25">
      <c r="A110" s="5">
        <v>108</v>
      </c>
      <c r="B110" s="5">
        <v>56</v>
      </c>
      <c r="C110" s="6" t="s">
        <v>152</v>
      </c>
      <c r="D110" s="5">
        <v>177</v>
      </c>
      <c r="E110" s="7">
        <v>2.23</v>
      </c>
      <c r="F110" s="7">
        <f t="shared" si="23"/>
        <v>394.71</v>
      </c>
      <c r="G110" s="8">
        <f t="shared" si="32"/>
        <v>394.71</v>
      </c>
      <c r="H110" s="4">
        <f t="shared" si="24"/>
        <v>503.25524999999993</v>
      </c>
      <c r="I110" s="4">
        <f t="shared" si="25"/>
        <v>559.17250000000001</v>
      </c>
      <c r="J110" s="17">
        <v>450</v>
      </c>
      <c r="K110" s="7">
        <f t="shared" si="33"/>
        <v>35.699999999999996</v>
      </c>
      <c r="L110" s="7">
        <f t="shared" si="34"/>
        <v>28</v>
      </c>
      <c r="M110" s="7">
        <f t="shared" si="35"/>
        <v>25.2</v>
      </c>
      <c r="N110" s="7">
        <f t="shared" si="26"/>
        <v>12.605042016806724</v>
      </c>
      <c r="O110" s="7">
        <f t="shared" si="27"/>
        <v>16.071428571428573</v>
      </c>
      <c r="P110" s="4">
        <f t="shared" si="28"/>
        <v>17.857142857142858</v>
      </c>
      <c r="Q110" s="4">
        <f t="shared" si="29"/>
        <v>407.31504201680673</v>
      </c>
      <c r="R110" s="4">
        <f t="shared" si="30"/>
        <v>519.32667857142849</v>
      </c>
      <c r="S110" s="4">
        <f t="shared" si="31"/>
        <v>577.0296428571429</v>
      </c>
    </row>
    <row r="111" spans="1:19" ht="33" hidden="1" customHeight="1" x14ac:dyDescent="0.25">
      <c r="A111" s="5">
        <v>109</v>
      </c>
      <c r="B111" s="5">
        <v>54</v>
      </c>
      <c r="C111" s="6" t="s">
        <v>153</v>
      </c>
      <c r="D111" s="5">
        <v>167</v>
      </c>
      <c r="E111" s="7">
        <v>2.23</v>
      </c>
      <c r="F111" s="7">
        <f t="shared" si="23"/>
        <v>372.41</v>
      </c>
      <c r="G111" s="8">
        <f t="shared" si="32"/>
        <v>372.41</v>
      </c>
      <c r="H111" s="4">
        <f t="shared" si="24"/>
        <v>474.82274999999998</v>
      </c>
      <c r="I111" s="4">
        <f t="shared" si="25"/>
        <v>527.58083333333332</v>
      </c>
      <c r="J111" s="17">
        <v>450</v>
      </c>
      <c r="K111" s="7">
        <f t="shared" si="33"/>
        <v>35.699999999999996</v>
      </c>
      <c r="L111" s="7">
        <f t="shared" si="34"/>
        <v>28</v>
      </c>
      <c r="M111" s="7">
        <f t="shared" si="35"/>
        <v>25.2</v>
      </c>
      <c r="N111" s="7">
        <f t="shared" si="26"/>
        <v>12.605042016806724</v>
      </c>
      <c r="O111" s="7">
        <f t="shared" si="27"/>
        <v>16.071428571428573</v>
      </c>
      <c r="P111" s="4">
        <f t="shared" si="28"/>
        <v>17.857142857142858</v>
      </c>
      <c r="Q111" s="4">
        <f t="shared" si="29"/>
        <v>385.01504201680677</v>
      </c>
      <c r="R111" s="4">
        <f t="shared" si="30"/>
        <v>490.89417857142854</v>
      </c>
      <c r="S111" s="4">
        <f t="shared" si="31"/>
        <v>545.43797619047621</v>
      </c>
    </row>
    <row r="112" spans="1:19" ht="33" hidden="1" customHeight="1" x14ac:dyDescent="0.25">
      <c r="A112" s="5">
        <v>110</v>
      </c>
      <c r="B112" s="5">
        <v>55</v>
      </c>
      <c r="C112" s="6" t="s">
        <v>154</v>
      </c>
      <c r="D112" s="5">
        <v>162</v>
      </c>
      <c r="E112" s="7">
        <v>2.23</v>
      </c>
      <c r="F112" s="7">
        <f t="shared" si="23"/>
        <v>361.26</v>
      </c>
      <c r="G112" s="8">
        <f t="shared" si="32"/>
        <v>361.26</v>
      </c>
      <c r="H112" s="4">
        <f t="shared" si="24"/>
        <v>460.60649999999998</v>
      </c>
      <c r="I112" s="4">
        <f t="shared" si="25"/>
        <v>511.78499999999997</v>
      </c>
      <c r="J112" s="17">
        <v>450</v>
      </c>
      <c r="K112" s="7">
        <f t="shared" si="33"/>
        <v>35.699999999999996</v>
      </c>
      <c r="L112" s="7">
        <f t="shared" si="34"/>
        <v>28</v>
      </c>
      <c r="M112" s="7">
        <f t="shared" si="35"/>
        <v>25.2</v>
      </c>
      <c r="N112" s="7">
        <f t="shared" si="26"/>
        <v>12.605042016806724</v>
      </c>
      <c r="O112" s="7">
        <f t="shared" si="27"/>
        <v>16.071428571428573</v>
      </c>
      <c r="P112" s="4">
        <f t="shared" si="28"/>
        <v>17.857142857142858</v>
      </c>
      <c r="Q112" s="4">
        <f t="shared" si="29"/>
        <v>373.86504201680674</v>
      </c>
      <c r="R112" s="4">
        <f t="shared" si="30"/>
        <v>476.67792857142854</v>
      </c>
      <c r="S112" s="4">
        <f t="shared" si="31"/>
        <v>529.64214285714286</v>
      </c>
    </row>
    <row r="113" spans="1:19" ht="33" hidden="1" customHeight="1" x14ac:dyDescent="0.25">
      <c r="A113" s="5">
        <v>111</v>
      </c>
      <c r="B113" s="5">
        <v>58</v>
      </c>
      <c r="C113" s="6" t="s">
        <v>155</v>
      </c>
      <c r="D113" s="5">
        <v>176</v>
      </c>
      <c r="E113" s="7">
        <v>2.23</v>
      </c>
      <c r="F113" s="7">
        <f t="shared" si="23"/>
        <v>392.48</v>
      </c>
      <c r="G113" s="8">
        <f t="shared" si="32"/>
        <v>392.48</v>
      </c>
      <c r="H113" s="4">
        <f t="shared" si="24"/>
        <v>500.41199999999998</v>
      </c>
      <c r="I113" s="4">
        <f t="shared" si="25"/>
        <v>556.01333333333332</v>
      </c>
      <c r="J113" s="17">
        <v>450</v>
      </c>
      <c r="K113" s="7">
        <f t="shared" si="33"/>
        <v>35.699999999999996</v>
      </c>
      <c r="L113" s="7">
        <f t="shared" si="34"/>
        <v>28</v>
      </c>
      <c r="M113" s="7">
        <f t="shared" si="35"/>
        <v>25.2</v>
      </c>
      <c r="N113" s="7">
        <f t="shared" si="26"/>
        <v>12.605042016806724</v>
      </c>
      <c r="O113" s="7">
        <f t="shared" si="27"/>
        <v>16.071428571428573</v>
      </c>
      <c r="P113" s="4">
        <f t="shared" si="28"/>
        <v>17.857142857142858</v>
      </c>
      <c r="Q113" s="4">
        <f t="shared" si="29"/>
        <v>405.08504201680677</v>
      </c>
      <c r="R113" s="4">
        <f t="shared" si="30"/>
        <v>516.48342857142859</v>
      </c>
      <c r="S113" s="4">
        <f t="shared" si="31"/>
        <v>573.87047619047621</v>
      </c>
    </row>
    <row r="114" spans="1:19" ht="33" hidden="1" customHeight="1" x14ac:dyDescent="0.25">
      <c r="A114" s="5">
        <v>112</v>
      </c>
      <c r="B114" s="5">
        <v>59</v>
      </c>
      <c r="C114" s="6" t="s">
        <v>156</v>
      </c>
      <c r="D114" s="5">
        <v>188</v>
      </c>
      <c r="E114" s="7">
        <v>2.23</v>
      </c>
      <c r="F114" s="7">
        <f t="shared" si="23"/>
        <v>419.24</v>
      </c>
      <c r="G114" s="8">
        <f t="shared" si="32"/>
        <v>419.24</v>
      </c>
      <c r="H114" s="4">
        <f t="shared" si="24"/>
        <v>534.53099999999995</v>
      </c>
      <c r="I114" s="4">
        <f t="shared" si="25"/>
        <v>593.9233333333334</v>
      </c>
      <c r="J114" s="17">
        <v>450</v>
      </c>
      <c r="K114" s="7">
        <f t="shared" si="33"/>
        <v>35.699999999999996</v>
      </c>
      <c r="L114" s="7">
        <f t="shared" si="34"/>
        <v>28</v>
      </c>
      <c r="M114" s="7">
        <f t="shared" si="35"/>
        <v>25.2</v>
      </c>
      <c r="N114" s="7">
        <f t="shared" si="26"/>
        <v>12.605042016806724</v>
      </c>
      <c r="O114" s="7">
        <f t="shared" si="27"/>
        <v>16.071428571428573</v>
      </c>
      <c r="P114" s="4">
        <f t="shared" si="28"/>
        <v>17.857142857142858</v>
      </c>
      <c r="Q114" s="4">
        <f t="shared" si="29"/>
        <v>431.84504201680676</v>
      </c>
      <c r="R114" s="4">
        <f t="shared" si="30"/>
        <v>550.6024285714285</v>
      </c>
      <c r="S114" s="4">
        <f t="shared" si="31"/>
        <v>611.78047619047629</v>
      </c>
    </row>
    <row r="115" spans="1:19" ht="33" hidden="1" customHeight="1" x14ac:dyDescent="0.25">
      <c r="A115" s="5">
        <v>113</v>
      </c>
      <c r="B115" s="5">
        <v>60</v>
      </c>
      <c r="C115" s="6" t="s">
        <v>157</v>
      </c>
      <c r="D115" s="5">
        <v>216</v>
      </c>
      <c r="E115" s="7">
        <v>2.23</v>
      </c>
      <c r="F115" s="7">
        <f t="shared" si="23"/>
        <v>481.68</v>
      </c>
      <c r="G115" s="8">
        <f t="shared" si="32"/>
        <v>481.68</v>
      </c>
      <c r="H115" s="4">
        <f t="shared" si="24"/>
        <v>614.14199999999994</v>
      </c>
      <c r="I115" s="4">
        <f t="shared" si="25"/>
        <v>682.38</v>
      </c>
      <c r="J115" s="17">
        <v>450</v>
      </c>
      <c r="K115" s="7">
        <f t="shared" si="33"/>
        <v>35.699999999999996</v>
      </c>
      <c r="L115" s="7">
        <f t="shared" si="34"/>
        <v>28</v>
      </c>
      <c r="M115" s="7">
        <f t="shared" si="35"/>
        <v>25.2</v>
      </c>
      <c r="N115" s="7">
        <f t="shared" si="26"/>
        <v>12.605042016806724</v>
      </c>
      <c r="O115" s="7">
        <f t="shared" si="27"/>
        <v>16.071428571428573</v>
      </c>
      <c r="P115" s="4">
        <f t="shared" si="28"/>
        <v>17.857142857142858</v>
      </c>
      <c r="Q115" s="4">
        <f t="shared" si="29"/>
        <v>494.28504201680676</v>
      </c>
      <c r="R115" s="4">
        <f t="shared" si="30"/>
        <v>630.21342857142849</v>
      </c>
      <c r="S115" s="4">
        <f t="shared" si="31"/>
        <v>700.23714285714289</v>
      </c>
    </row>
    <row r="116" spans="1:19" ht="33" hidden="1" customHeight="1" x14ac:dyDescent="0.25">
      <c r="A116" s="5">
        <v>114</v>
      </c>
      <c r="B116" s="5">
        <v>61</v>
      </c>
      <c r="C116" s="6" t="s">
        <v>158</v>
      </c>
      <c r="D116" s="5">
        <v>173</v>
      </c>
      <c r="E116" s="7">
        <v>2.23</v>
      </c>
      <c r="F116" s="7">
        <f t="shared" si="23"/>
        <v>385.79</v>
      </c>
      <c r="G116" s="8">
        <f t="shared" si="32"/>
        <v>385.79</v>
      </c>
      <c r="H116" s="4">
        <f t="shared" si="24"/>
        <v>491.88225</v>
      </c>
      <c r="I116" s="4">
        <f t="shared" si="25"/>
        <v>546.53583333333336</v>
      </c>
      <c r="J116" s="17">
        <v>450</v>
      </c>
      <c r="K116" s="7">
        <f t="shared" si="33"/>
        <v>35.699999999999996</v>
      </c>
      <c r="L116" s="7">
        <f t="shared" si="34"/>
        <v>28</v>
      </c>
      <c r="M116" s="7">
        <f t="shared" si="35"/>
        <v>25.2</v>
      </c>
      <c r="N116" s="7">
        <f t="shared" si="26"/>
        <v>12.605042016806724</v>
      </c>
      <c r="O116" s="7">
        <f t="shared" si="27"/>
        <v>16.071428571428573</v>
      </c>
      <c r="P116" s="4">
        <f t="shared" si="28"/>
        <v>17.857142857142858</v>
      </c>
      <c r="Q116" s="4">
        <f t="shared" si="29"/>
        <v>398.39504201680677</v>
      </c>
      <c r="R116" s="4">
        <f t="shared" si="30"/>
        <v>507.95367857142855</v>
      </c>
      <c r="S116" s="4">
        <f t="shared" si="31"/>
        <v>564.39297619047625</v>
      </c>
    </row>
    <row r="117" spans="1:19" ht="33" hidden="1" customHeight="1" x14ac:dyDescent="0.25">
      <c r="A117" s="5">
        <v>115</v>
      </c>
      <c r="B117" s="5">
        <v>95</v>
      </c>
      <c r="C117" s="6" t="s">
        <v>159</v>
      </c>
      <c r="D117" s="5">
        <v>113</v>
      </c>
      <c r="E117" s="7">
        <v>2.23</v>
      </c>
      <c r="F117" s="7">
        <f t="shared" si="23"/>
        <v>251.99</v>
      </c>
      <c r="G117" s="8">
        <f t="shared" si="32"/>
        <v>251.99</v>
      </c>
      <c r="H117" s="4">
        <f t="shared" si="24"/>
        <v>321.28724999999997</v>
      </c>
      <c r="I117" s="4">
        <f t="shared" si="25"/>
        <v>356.98583333333335</v>
      </c>
      <c r="J117" s="17">
        <v>450</v>
      </c>
      <c r="K117" s="7">
        <f t="shared" si="33"/>
        <v>35.699999999999996</v>
      </c>
      <c r="L117" s="7">
        <f t="shared" si="34"/>
        <v>28</v>
      </c>
      <c r="M117" s="7">
        <f t="shared" si="35"/>
        <v>25.2</v>
      </c>
      <c r="N117" s="7">
        <f t="shared" si="26"/>
        <v>12.605042016806724</v>
      </c>
      <c r="O117" s="7">
        <f t="shared" si="27"/>
        <v>16.071428571428573</v>
      </c>
      <c r="P117" s="4">
        <f t="shared" si="28"/>
        <v>17.857142857142858</v>
      </c>
      <c r="Q117" s="4">
        <f t="shared" si="29"/>
        <v>264.59504201680676</v>
      </c>
      <c r="R117" s="4">
        <f t="shared" si="30"/>
        <v>337.35867857142853</v>
      </c>
      <c r="S117" s="4">
        <f t="shared" si="31"/>
        <v>374.84297619047618</v>
      </c>
    </row>
    <row r="118" spans="1:19" ht="33" hidden="1" customHeight="1" x14ac:dyDescent="0.25">
      <c r="A118" s="5">
        <v>116</v>
      </c>
      <c r="B118" s="5">
        <v>156</v>
      </c>
      <c r="C118" s="10" t="s">
        <v>160</v>
      </c>
      <c r="D118" s="5">
        <v>73</v>
      </c>
      <c r="E118" s="7">
        <v>2.23</v>
      </c>
      <c r="F118" s="7">
        <f t="shared" si="23"/>
        <v>162.79</v>
      </c>
      <c r="G118" s="8">
        <f t="shared" si="32"/>
        <v>162.79</v>
      </c>
      <c r="H118" s="4">
        <f t="shared" si="24"/>
        <v>207.55724999999998</v>
      </c>
      <c r="I118" s="4">
        <f t="shared" si="25"/>
        <v>230.61916666666664</v>
      </c>
      <c r="J118" s="17">
        <v>450</v>
      </c>
      <c r="K118" s="7">
        <f t="shared" si="33"/>
        <v>35.699999999999996</v>
      </c>
      <c r="L118" s="7">
        <f t="shared" si="34"/>
        <v>28</v>
      </c>
      <c r="M118" s="7">
        <f t="shared" si="35"/>
        <v>25.2</v>
      </c>
      <c r="N118" s="7">
        <f t="shared" si="26"/>
        <v>12.605042016806724</v>
      </c>
      <c r="O118" s="7">
        <f t="shared" si="27"/>
        <v>16.071428571428573</v>
      </c>
      <c r="P118" s="4">
        <f t="shared" si="28"/>
        <v>17.857142857142858</v>
      </c>
      <c r="Q118" s="4">
        <f t="shared" si="29"/>
        <v>175.39504201680671</v>
      </c>
      <c r="R118" s="4">
        <f t="shared" si="30"/>
        <v>223.62867857142857</v>
      </c>
      <c r="S118" s="4">
        <f t="shared" si="31"/>
        <v>248.4763095238095</v>
      </c>
    </row>
    <row r="119" spans="1:19" ht="33" hidden="1" customHeight="1" x14ac:dyDescent="0.25">
      <c r="A119" s="5">
        <v>117</v>
      </c>
      <c r="B119" s="5">
        <v>159</v>
      </c>
      <c r="C119" s="6" t="s">
        <v>161</v>
      </c>
      <c r="D119" s="5">
        <v>180</v>
      </c>
      <c r="E119" s="7">
        <v>2.23</v>
      </c>
      <c r="F119" s="7">
        <f t="shared" si="23"/>
        <v>401.4</v>
      </c>
      <c r="G119" s="8">
        <f t="shared" si="32"/>
        <v>401.4</v>
      </c>
      <c r="H119" s="4">
        <f t="shared" si="24"/>
        <v>511.78499999999991</v>
      </c>
      <c r="I119" s="4">
        <f t="shared" si="25"/>
        <v>568.65</v>
      </c>
      <c r="J119" s="17">
        <v>450</v>
      </c>
      <c r="K119" s="7">
        <f t="shared" si="33"/>
        <v>35.699999999999996</v>
      </c>
      <c r="L119" s="7">
        <f t="shared" si="34"/>
        <v>28</v>
      </c>
      <c r="M119" s="7">
        <f t="shared" si="35"/>
        <v>25.2</v>
      </c>
      <c r="N119" s="7">
        <f t="shared" si="26"/>
        <v>12.605042016806724</v>
      </c>
      <c r="O119" s="7">
        <f t="shared" si="27"/>
        <v>16.071428571428573</v>
      </c>
      <c r="P119" s="4">
        <f t="shared" si="28"/>
        <v>17.857142857142858</v>
      </c>
      <c r="Q119" s="4">
        <f t="shared" si="29"/>
        <v>414.00504201680673</v>
      </c>
      <c r="R119" s="4">
        <f t="shared" si="30"/>
        <v>527.85642857142852</v>
      </c>
      <c r="S119" s="4">
        <f t="shared" si="31"/>
        <v>586.50714285714287</v>
      </c>
    </row>
    <row r="120" spans="1:19" ht="33" hidden="1" customHeight="1" x14ac:dyDescent="0.25">
      <c r="A120" s="5">
        <v>118</v>
      </c>
      <c r="B120" s="5">
        <v>166</v>
      </c>
      <c r="C120" s="6" t="s">
        <v>162</v>
      </c>
      <c r="D120" s="5">
        <v>162</v>
      </c>
      <c r="E120" s="7">
        <v>2.23</v>
      </c>
      <c r="F120" s="7">
        <f t="shared" si="23"/>
        <v>361.26</v>
      </c>
      <c r="G120" s="8">
        <f t="shared" si="32"/>
        <v>361.26</v>
      </c>
      <c r="H120" s="4">
        <f t="shared" si="24"/>
        <v>460.60649999999998</v>
      </c>
      <c r="I120" s="4">
        <f t="shared" si="25"/>
        <v>511.78499999999997</v>
      </c>
      <c r="J120" s="17">
        <v>450</v>
      </c>
      <c r="K120" s="7">
        <f t="shared" si="33"/>
        <v>35.699999999999996</v>
      </c>
      <c r="L120" s="7">
        <f t="shared" si="34"/>
        <v>28</v>
      </c>
      <c r="M120" s="7">
        <f t="shared" si="35"/>
        <v>25.2</v>
      </c>
      <c r="N120" s="7">
        <f t="shared" si="26"/>
        <v>12.605042016806724</v>
      </c>
      <c r="O120" s="7">
        <f t="shared" si="27"/>
        <v>16.071428571428573</v>
      </c>
      <c r="P120" s="4">
        <f t="shared" si="28"/>
        <v>17.857142857142858</v>
      </c>
      <c r="Q120" s="4">
        <f t="shared" si="29"/>
        <v>373.86504201680674</v>
      </c>
      <c r="R120" s="4">
        <f t="shared" si="30"/>
        <v>476.67792857142854</v>
      </c>
      <c r="S120" s="4">
        <f t="shared" si="31"/>
        <v>529.64214285714286</v>
      </c>
    </row>
    <row r="121" spans="1:19" ht="33" hidden="1" customHeight="1" x14ac:dyDescent="0.25">
      <c r="A121" s="5">
        <v>119</v>
      </c>
      <c r="B121" s="5">
        <v>174</v>
      </c>
      <c r="C121" s="6" t="s">
        <v>163</v>
      </c>
      <c r="D121" s="5">
        <v>138</v>
      </c>
      <c r="E121" s="7">
        <v>2.23</v>
      </c>
      <c r="F121" s="7">
        <f t="shared" si="23"/>
        <v>307.74</v>
      </c>
      <c r="G121" s="8">
        <f t="shared" si="32"/>
        <v>307.74</v>
      </c>
      <c r="H121" s="4">
        <f t="shared" si="24"/>
        <v>392.36849999999998</v>
      </c>
      <c r="I121" s="4">
        <f t="shared" si="25"/>
        <v>435.96499999999997</v>
      </c>
      <c r="J121" s="17">
        <v>450</v>
      </c>
      <c r="K121" s="7">
        <f t="shared" si="33"/>
        <v>35.699999999999996</v>
      </c>
      <c r="L121" s="7">
        <f t="shared" si="34"/>
        <v>28</v>
      </c>
      <c r="M121" s="7">
        <f t="shared" si="35"/>
        <v>25.2</v>
      </c>
      <c r="N121" s="7">
        <f t="shared" si="26"/>
        <v>12.605042016806724</v>
      </c>
      <c r="O121" s="7">
        <f t="shared" si="27"/>
        <v>16.071428571428573</v>
      </c>
      <c r="P121" s="4">
        <f t="shared" si="28"/>
        <v>17.857142857142858</v>
      </c>
      <c r="Q121" s="4">
        <f t="shared" si="29"/>
        <v>320.34504201680676</v>
      </c>
      <c r="R121" s="4">
        <f t="shared" si="30"/>
        <v>408.43992857142854</v>
      </c>
      <c r="S121" s="4">
        <f t="shared" si="31"/>
        <v>453.82214285714281</v>
      </c>
    </row>
    <row r="122" spans="1:19" ht="33" hidden="1" customHeight="1" x14ac:dyDescent="0.25">
      <c r="A122" s="5">
        <v>120</v>
      </c>
      <c r="B122" s="5">
        <v>175</v>
      </c>
      <c r="C122" s="6" t="s">
        <v>164</v>
      </c>
      <c r="D122" s="5">
        <v>137</v>
      </c>
      <c r="E122" s="7">
        <v>2.23</v>
      </c>
      <c r="F122" s="7">
        <f t="shared" si="23"/>
        <v>305.51</v>
      </c>
      <c r="G122" s="8">
        <f t="shared" si="32"/>
        <v>305.51</v>
      </c>
      <c r="H122" s="4">
        <f t="shared" si="24"/>
        <v>389.52524999999997</v>
      </c>
      <c r="I122" s="4">
        <f t="shared" si="25"/>
        <v>432.80583333333334</v>
      </c>
      <c r="J122" s="17">
        <v>450</v>
      </c>
      <c r="K122" s="7">
        <f t="shared" si="33"/>
        <v>35.699999999999996</v>
      </c>
      <c r="L122" s="7">
        <f t="shared" si="34"/>
        <v>28</v>
      </c>
      <c r="M122" s="7">
        <f t="shared" si="35"/>
        <v>25.2</v>
      </c>
      <c r="N122" s="7">
        <f t="shared" si="26"/>
        <v>12.605042016806724</v>
      </c>
      <c r="O122" s="7">
        <f t="shared" si="27"/>
        <v>16.071428571428573</v>
      </c>
      <c r="P122" s="4">
        <f t="shared" si="28"/>
        <v>17.857142857142858</v>
      </c>
      <c r="Q122" s="4">
        <f t="shared" si="29"/>
        <v>318.11504201680674</v>
      </c>
      <c r="R122" s="4">
        <f t="shared" si="30"/>
        <v>405.59667857142853</v>
      </c>
      <c r="S122" s="4">
        <f t="shared" si="31"/>
        <v>450.66297619047617</v>
      </c>
    </row>
    <row r="123" spans="1:19" ht="33" hidden="1" customHeight="1" x14ac:dyDescent="0.25">
      <c r="A123" s="5">
        <v>121</v>
      </c>
      <c r="B123" s="5">
        <v>178</v>
      </c>
      <c r="C123" s="6" t="s">
        <v>165</v>
      </c>
      <c r="D123" s="5">
        <v>126</v>
      </c>
      <c r="E123" s="7">
        <v>2.23</v>
      </c>
      <c r="F123" s="7">
        <f t="shared" si="23"/>
        <v>280.98</v>
      </c>
      <c r="G123" s="8">
        <f t="shared" si="32"/>
        <v>280.98</v>
      </c>
      <c r="H123" s="4">
        <f t="shared" si="24"/>
        <v>358.24950000000001</v>
      </c>
      <c r="I123" s="4">
        <f t="shared" si="25"/>
        <v>398.05500000000006</v>
      </c>
      <c r="J123" s="17">
        <v>450</v>
      </c>
      <c r="K123" s="7">
        <f t="shared" si="33"/>
        <v>35.699999999999996</v>
      </c>
      <c r="L123" s="7">
        <f t="shared" si="34"/>
        <v>28</v>
      </c>
      <c r="M123" s="7">
        <f t="shared" si="35"/>
        <v>25.2</v>
      </c>
      <c r="N123" s="7">
        <f t="shared" si="26"/>
        <v>12.605042016806724</v>
      </c>
      <c r="O123" s="7">
        <f t="shared" si="27"/>
        <v>16.071428571428573</v>
      </c>
      <c r="P123" s="4">
        <f t="shared" si="28"/>
        <v>17.857142857142858</v>
      </c>
      <c r="Q123" s="4">
        <f t="shared" si="29"/>
        <v>293.58504201680677</v>
      </c>
      <c r="R123" s="4">
        <f t="shared" si="30"/>
        <v>374.32092857142857</v>
      </c>
      <c r="S123" s="4">
        <f t="shared" si="31"/>
        <v>415.9121428571429</v>
      </c>
    </row>
    <row r="124" spans="1:19" ht="33" hidden="1" customHeight="1" x14ac:dyDescent="0.25">
      <c r="A124" s="5">
        <v>122</v>
      </c>
      <c r="B124" s="5">
        <v>179</v>
      </c>
      <c r="C124" s="6" t="s">
        <v>166</v>
      </c>
      <c r="D124" s="5">
        <v>80</v>
      </c>
      <c r="E124" s="7">
        <v>2.23</v>
      </c>
      <c r="F124" s="7">
        <f t="shared" si="23"/>
        <v>178.4</v>
      </c>
      <c r="G124" s="8">
        <f t="shared" si="32"/>
        <v>178.4</v>
      </c>
      <c r="H124" s="4">
        <f t="shared" si="24"/>
        <v>227.45999999999998</v>
      </c>
      <c r="I124" s="4">
        <f t="shared" si="25"/>
        <v>252.73333333333332</v>
      </c>
      <c r="J124" s="17">
        <v>450</v>
      </c>
      <c r="K124" s="7">
        <f t="shared" si="33"/>
        <v>35.699999999999996</v>
      </c>
      <c r="L124" s="7">
        <f t="shared" si="34"/>
        <v>28</v>
      </c>
      <c r="M124" s="7">
        <f t="shared" si="35"/>
        <v>25.2</v>
      </c>
      <c r="N124" s="7">
        <f t="shared" si="26"/>
        <v>12.605042016806724</v>
      </c>
      <c r="O124" s="7">
        <f t="shared" si="27"/>
        <v>16.071428571428573</v>
      </c>
      <c r="P124" s="4">
        <f t="shared" si="28"/>
        <v>17.857142857142858</v>
      </c>
      <c r="Q124" s="4">
        <f t="shared" si="29"/>
        <v>191.00504201680673</v>
      </c>
      <c r="R124" s="4">
        <f t="shared" si="30"/>
        <v>243.53142857142856</v>
      </c>
      <c r="S124" s="4">
        <f t="shared" si="31"/>
        <v>270.59047619047618</v>
      </c>
    </row>
    <row r="125" spans="1:19" ht="33" hidden="1" customHeight="1" x14ac:dyDescent="0.25">
      <c r="A125" s="5">
        <v>123</v>
      </c>
      <c r="B125" s="5">
        <v>200</v>
      </c>
      <c r="C125" s="6" t="s">
        <v>167</v>
      </c>
      <c r="D125" s="5">
        <v>127</v>
      </c>
      <c r="E125" s="7">
        <v>2.23</v>
      </c>
      <c r="F125" s="7">
        <f t="shared" si="23"/>
        <v>283.20999999999998</v>
      </c>
      <c r="G125" s="8">
        <f t="shared" si="32"/>
        <v>283.20999999999998</v>
      </c>
      <c r="H125" s="4">
        <f t="shared" si="24"/>
        <v>361.09274999999997</v>
      </c>
      <c r="I125" s="4">
        <f t="shared" si="25"/>
        <v>401.21416666666664</v>
      </c>
      <c r="J125" s="17">
        <v>450</v>
      </c>
      <c r="K125" s="7">
        <f t="shared" si="33"/>
        <v>35.699999999999996</v>
      </c>
      <c r="L125" s="7">
        <f t="shared" si="34"/>
        <v>28</v>
      </c>
      <c r="M125" s="7">
        <f t="shared" si="35"/>
        <v>25.2</v>
      </c>
      <c r="N125" s="7">
        <f t="shared" si="26"/>
        <v>12.605042016806724</v>
      </c>
      <c r="O125" s="7">
        <f t="shared" si="27"/>
        <v>16.071428571428573</v>
      </c>
      <c r="P125" s="4">
        <f t="shared" si="28"/>
        <v>17.857142857142858</v>
      </c>
      <c r="Q125" s="4">
        <f t="shared" si="29"/>
        <v>295.81504201680673</v>
      </c>
      <c r="R125" s="4">
        <f t="shared" si="30"/>
        <v>377.16417857142852</v>
      </c>
      <c r="S125" s="4">
        <f t="shared" si="31"/>
        <v>419.07130952380948</v>
      </c>
    </row>
    <row r="126" spans="1:19" ht="33" hidden="1" customHeight="1" x14ac:dyDescent="0.25">
      <c r="A126" s="5">
        <v>124</v>
      </c>
      <c r="B126" s="5">
        <v>203</v>
      </c>
      <c r="C126" s="6" t="s">
        <v>168</v>
      </c>
      <c r="D126" s="5">
        <v>167</v>
      </c>
      <c r="E126" s="7">
        <v>2.23</v>
      </c>
      <c r="F126" s="7">
        <f t="shared" si="23"/>
        <v>372.41</v>
      </c>
      <c r="G126" s="8">
        <f t="shared" si="32"/>
        <v>372.41</v>
      </c>
      <c r="H126" s="4">
        <f t="shared" si="24"/>
        <v>474.82274999999998</v>
      </c>
      <c r="I126" s="4">
        <f t="shared" si="25"/>
        <v>527.58083333333332</v>
      </c>
      <c r="J126" s="17">
        <v>450</v>
      </c>
      <c r="K126" s="7">
        <f t="shared" si="33"/>
        <v>35.699999999999996</v>
      </c>
      <c r="L126" s="7">
        <f t="shared" si="34"/>
        <v>28</v>
      </c>
      <c r="M126" s="7">
        <f t="shared" si="35"/>
        <v>25.2</v>
      </c>
      <c r="N126" s="7">
        <f t="shared" si="26"/>
        <v>12.605042016806724</v>
      </c>
      <c r="O126" s="7">
        <f t="shared" si="27"/>
        <v>16.071428571428573</v>
      </c>
      <c r="P126" s="4">
        <f t="shared" si="28"/>
        <v>17.857142857142858</v>
      </c>
      <c r="Q126" s="4">
        <f t="shared" si="29"/>
        <v>385.01504201680677</v>
      </c>
      <c r="R126" s="4">
        <f t="shared" si="30"/>
        <v>490.89417857142854</v>
      </c>
      <c r="S126" s="4">
        <f t="shared" si="31"/>
        <v>545.43797619047621</v>
      </c>
    </row>
    <row r="127" spans="1:19" ht="33" hidden="1" customHeight="1" x14ac:dyDescent="0.25">
      <c r="A127" s="5">
        <v>125</v>
      </c>
      <c r="B127" s="5">
        <v>206</v>
      </c>
      <c r="C127" s="6" t="s">
        <v>169</v>
      </c>
      <c r="D127" s="5">
        <v>113</v>
      </c>
      <c r="E127" s="7">
        <v>2.23</v>
      </c>
      <c r="F127" s="7">
        <f t="shared" si="23"/>
        <v>251.99</v>
      </c>
      <c r="G127" s="8">
        <f t="shared" si="32"/>
        <v>251.99</v>
      </c>
      <c r="H127" s="4">
        <f t="shared" si="24"/>
        <v>321.28724999999997</v>
      </c>
      <c r="I127" s="4">
        <f t="shared" si="25"/>
        <v>356.98583333333335</v>
      </c>
      <c r="J127" s="17">
        <v>450</v>
      </c>
      <c r="K127" s="7">
        <f t="shared" si="33"/>
        <v>35.699999999999996</v>
      </c>
      <c r="L127" s="7">
        <f t="shared" si="34"/>
        <v>28</v>
      </c>
      <c r="M127" s="7">
        <f t="shared" si="35"/>
        <v>25.2</v>
      </c>
      <c r="N127" s="7">
        <f t="shared" si="26"/>
        <v>12.605042016806724</v>
      </c>
      <c r="O127" s="7">
        <f t="shared" si="27"/>
        <v>16.071428571428573</v>
      </c>
      <c r="P127" s="4">
        <f t="shared" si="28"/>
        <v>17.857142857142858</v>
      </c>
      <c r="Q127" s="4">
        <f t="shared" si="29"/>
        <v>264.59504201680676</v>
      </c>
      <c r="R127" s="4">
        <f t="shared" si="30"/>
        <v>337.35867857142853</v>
      </c>
      <c r="S127" s="4">
        <f t="shared" si="31"/>
        <v>374.84297619047618</v>
      </c>
    </row>
    <row r="128" spans="1:19" ht="33" hidden="1" customHeight="1" x14ac:dyDescent="0.25">
      <c r="A128" s="5">
        <v>126</v>
      </c>
      <c r="B128" s="5">
        <v>208</v>
      </c>
      <c r="C128" s="10" t="s">
        <v>170</v>
      </c>
      <c r="D128" s="5">
        <v>154</v>
      </c>
      <c r="E128" s="7">
        <v>2.23</v>
      </c>
      <c r="F128" s="7">
        <f t="shared" si="23"/>
        <v>343.42</v>
      </c>
      <c r="G128" s="8">
        <f t="shared" si="32"/>
        <v>343.42</v>
      </c>
      <c r="H128" s="4">
        <f t="shared" si="24"/>
        <v>437.8605</v>
      </c>
      <c r="I128" s="4">
        <f t="shared" si="25"/>
        <v>486.51166666666671</v>
      </c>
      <c r="J128" s="17">
        <v>620</v>
      </c>
      <c r="K128" s="7">
        <f t="shared" si="33"/>
        <v>35.699999999999996</v>
      </c>
      <c r="L128" s="7">
        <f t="shared" si="34"/>
        <v>28</v>
      </c>
      <c r="M128" s="7">
        <f t="shared" si="35"/>
        <v>25.2</v>
      </c>
      <c r="N128" s="7">
        <f t="shared" si="26"/>
        <v>17.366946778711487</v>
      </c>
      <c r="O128" s="7">
        <f t="shared" si="27"/>
        <v>22.142857142857142</v>
      </c>
      <c r="P128" s="4">
        <f t="shared" si="28"/>
        <v>24.603174603174605</v>
      </c>
      <c r="Q128" s="4">
        <f t="shared" si="29"/>
        <v>360.78694677871152</v>
      </c>
      <c r="R128" s="4">
        <f t="shared" si="30"/>
        <v>460.00335714285717</v>
      </c>
      <c r="S128" s="4">
        <f t="shared" si="31"/>
        <v>511.11484126984129</v>
      </c>
    </row>
    <row r="129" spans="1:19" ht="33" hidden="1" customHeight="1" x14ac:dyDescent="0.25">
      <c r="A129" s="5">
        <v>127</v>
      </c>
      <c r="B129" s="5">
        <v>334</v>
      </c>
      <c r="C129" s="6" t="s">
        <v>171</v>
      </c>
      <c r="D129" s="5">
        <v>96</v>
      </c>
      <c r="E129" s="7">
        <v>2.23</v>
      </c>
      <c r="F129" s="7">
        <f t="shared" si="23"/>
        <v>214.07999999999998</v>
      </c>
      <c r="G129" s="8">
        <f t="shared" si="32"/>
        <v>214.07999999999998</v>
      </c>
      <c r="H129" s="4">
        <f t="shared" si="24"/>
        <v>272.95199999999994</v>
      </c>
      <c r="I129" s="4">
        <f t="shared" si="25"/>
        <v>303.27999999999997</v>
      </c>
      <c r="J129" s="17">
        <v>450</v>
      </c>
      <c r="K129" s="7">
        <f t="shared" si="33"/>
        <v>35.699999999999996</v>
      </c>
      <c r="L129" s="7">
        <f t="shared" si="34"/>
        <v>28</v>
      </c>
      <c r="M129" s="7">
        <f t="shared" si="35"/>
        <v>25.2</v>
      </c>
      <c r="N129" s="7">
        <f t="shared" si="26"/>
        <v>12.605042016806724</v>
      </c>
      <c r="O129" s="7">
        <f t="shared" si="27"/>
        <v>16.071428571428573</v>
      </c>
      <c r="P129" s="4">
        <f t="shared" si="28"/>
        <v>17.857142857142858</v>
      </c>
      <c r="Q129" s="4">
        <f t="shared" si="29"/>
        <v>226.6850420168067</v>
      </c>
      <c r="R129" s="4">
        <f t="shared" si="30"/>
        <v>289.0234285714285</v>
      </c>
      <c r="S129" s="4">
        <f t="shared" si="31"/>
        <v>321.13714285714281</v>
      </c>
    </row>
    <row r="130" spans="1:19" ht="33" hidden="1" customHeight="1" x14ac:dyDescent="0.25">
      <c r="A130" s="5">
        <v>128</v>
      </c>
      <c r="B130" s="5">
        <v>335</v>
      </c>
      <c r="C130" s="6" t="s">
        <v>172</v>
      </c>
      <c r="D130" s="5">
        <v>86</v>
      </c>
      <c r="E130" s="7">
        <v>2.23</v>
      </c>
      <c r="F130" s="7">
        <f t="shared" si="23"/>
        <v>191.78</v>
      </c>
      <c r="G130" s="8">
        <f t="shared" si="32"/>
        <v>191.78</v>
      </c>
      <c r="H130" s="4">
        <f t="shared" si="24"/>
        <v>244.51949999999999</v>
      </c>
      <c r="I130" s="4">
        <f t="shared" si="25"/>
        <v>271.68833333333333</v>
      </c>
      <c r="J130" s="17">
        <v>450</v>
      </c>
      <c r="K130" s="7">
        <f t="shared" si="33"/>
        <v>35.699999999999996</v>
      </c>
      <c r="L130" s="7">
        <f t="shared" si="34"/>
        <v>28</v>
      </c>
      <c r="M130" s="7">
        <f t="shared" si="35"/>
        <v>25.2</v>
      </c>
      <c r="N130" s="7">
        <f t="shared" si="26"/>
        <v>12.605042016806724</v>
      </c>
      <c r="O130" s="7">
        <f t="shared" si="27"/>
        <v>16.071428571428573</v>
      </c>
      <c r="P130" s="4">
        <f t="shared" si="28"/>
        <v>17.857142857142858</v>
      </c>
      <c r="Q130" s="4">
        <f t="shared" si="29"/>
        <v>204.38504201680672</v>
      </c>
      <c r="R130" s="4">
        <f t="shared" si="30"/>
        <v>260.59092857142855</v>
      </c>
      <c r="S130" s="4">
        <f t="shared" si="31"/>
        <v>289.54547619047617</v>
      </c>
    </row>
    <row r="131" spans="1:19" ht="33" hidden="1" customHeight="1" x14ac:dyDescent="0.25">
      <c r="A131" s="5">
        <v>129</v>
      </c>
      <c r="B131" s="5">
        <v>343</v>
      </c>
      <c r="C131" s="6" t="s">
        <v>173</v>
      </c>
      <c r="D131" s="5">
        <v>89</v>
      </c>
      <c r="E131" s="7">
        <v>2.23</v>
      </c>
      <c r="F131" s="7">
        <f t="shared" si="23"/>
        <v>198.47</v>
      </c>
      <c r="G131" s="8">
        <f t="shared" si="32"/>
        <v>198.47</v>
      </c>
      <c r="H131" s="4">
        <f t="shared" si="24"/>
        <v>253.04924999999997</v>
      </c>
      <c r="I131" s="4">
        <f t="shared" si="25"/>
        <v>281.1658333333333</v>
      </c>
      <c r="J131" s="17">
        <v>450</v>
      </c>
      <c r="K131" s="7">
        <f t="shared" si="33"/>
        <v>35.699999999999996</v>
      </c>
      <c r="L131" s="7">
        <f t="shared" si="34"/>
        <v>28</v>
      </c>
      <c r="M131" s="7">
        <f t="shared" si="35"/>
        <v>25.2</v>
      </c>
      <c r="N131" s="7">
        <f t="shared" si="26"/>
        <v>12.605042016806724</v>
      </c>
      <c r="O131" s="7">
        <f t="shared" si="27"/>
        <v>16.071428571428573</v>
      </c>
      <c r="P131" s="4">
        <f t="shared" si="28"/>
        <v>17.857142857142858</v>
      </c>
      <c r="Q131" s="4">
        <f t="shared" si="29"/>
        <v>211.07504201680672</v>
      </c>
      <c r="R131" s="4">
        <f t="shared" si="30"/>
        <v>269.12067857142853</v>
      </c>
      <c r="S131" s="4">
        <f t="shared" si="31"/>
        <v>299.02297619047613</v>
      </c>
    </row>
    <row r="132" spans="1:19" ht="33" hidden="1" customHeight="1" x14ac:dyDescent="0.25">
      <c r="A132" s="5">
        <v>130</v>
      </c>
      <c r="B132" s="5">
        <v>351</v>
      </c>
      <c r="C132" s="6" t="s">
        <v>174</v>
      </c>
      <c r="D132" s="5">
        <v>176</v>
      </c>
      <c r="E132" s="7">
        <v>2.23</v>
      </c>
      <c r="F132" s="7">
        <f t="shared" si="23"/>
        <v>392.48</v>
      </c>
      <c r="G132" s="8">
        <f t="shared" si="32"/>
        <v>392.48</v>
      </c>
      <c r="H132" s="4">
        <f t="shared" si="24"/>
        <v>500.41199999999998</v>
      </c>
      <c r="I132" s="4">
        <f t="shared" si="25"/>
        <v>556.01333333333332</v>
      </c>
      <c r="J132" s="17">
        <v>450</v>
      </c>
      <c r="K132" s="7">
        <f t="shared" si="33"/>
        <v>35.699999999999996</v>
      </c>
      <c r="L132" s="7">
        <f t="shared" si="34"/>
        <v>28</v>
      </c>
      <c r="M132" s="7">
        <f t="shared" si="35"/>
        <v>25.2</v>
      </c>
      <c r="N132" s="7">
        <f t="shared" si="26"/>
        <v>12.605042016806724</v>
      </c>
      <c r="O132" s="7">
        <f t="shared" si="27"/>
        <v>16.071428571428573</v>
      </c>
      <c r="P132" s="4">
        <f t="shared" si="28"/>
        <v>17.857142857142858</v>
      </c>
      <c r="Q132" s="4">
        <f t="shared" si="29"/>
        <v>405.08504201680677</v>
      </c>
      <c r="R132" s="4">
        <f t="shared" si="30"/>
        <v>516.48342857142859</v>
      </c>
      <c r="S132" s="4">
        <f t="shared" si="31"/>
        <v>573.87047619047621</v>
      </c>
    </row>
    <row r="133" spans="1:19" ht="33" hidden="1" customHeight="1" x14ac:dyDescent="0.25">
      <c r="A133" s="5">
        <v>131</v>
      </c>
      <c r="B133" s="5">
        <v>357</v>
      </c>
      <c r="C133" s="6" t="s">
        <v>175</v>
      </c>
      <c r="D133" s="5">
        <v>97</v>
      </c>
      <c r="E133" s="7">
        <v>2.23</v>
      </c>
      <c r="F133" s="7">
        <f t="shared" si="23"/>
        <v>216.31</v>
      </c>
      <c r="G133" s="8">
        <f t="shared" si="32"/>
        <v>216.31</v>
      </c>
      <c r="H133" s="4">
        <f t="shared" si="24"/>
        <v>275.79525000000001</v>
      </c>
      <c r="I133" s="4">
        <f t="shared" si="25"/>
        <v>306.43916666666667</v>
      </c>
      <c r="J133" s="17">
        <v>450</v>
      </c>
      <c r="K133" s="7">
        <f t="shared" si="33"/>
        <v>35.699999999999996</v>
      </c>
      <c r="L133" s="7">
        <f t="shared" si="34"/>
        <v>28</v>
      </c>
      <c r="M133" s="7">
        <f t="shared" si="35"/>
        <v>25.2</v>
      </c>
      <c r="N133" s="7">
        <f t="shared" si="26"/>
        <v>12.605042016806724</v>
      </c>
      <c r="O133" s="7">
        <f t="shared" si="27"/>
        <v>16.071428571428573</v>
      </c>
      <c r="P133" s="4">
        <f t="shared" si="28"/>
        <v>17.857142857142858</v>
      </c>
      <c r="Q133" s="4">
        <f t="shared" si="29"/>
        <v>228.91504201680672</v>
      </c>
      <c r="R133" s="4">
        <f t="shared" si="30"/>
        <v>291.86667857142857</v>
      </c>
      <c r="S133" s="4">
        <f t="shared" si="31"/>
        <v>324.2963095238095</v>
      </c>
    </row>
    <row r="134" spans="1:19" ht="33" hidden="1" customHeight="1" x14ac:dyDescent="0.25">
      <c r="A134" s="5">
        <v>132</v>
      </c>
      <c r="B134" s="5">
        <v>389</v>
      </c>
      <c r="C134" s="6" t="s">
        <v>396</v>
      </c>
      <c r="D134" s="5">
        <v>42</v>
      </c>
      <c r="E134" s="7">
        <v>2.23</v>
      </c>
      <c r="F134" s="7">
        <f t="shared" si="23"/>
        <v>93.66</v>
      </c>
      <c r="G134" s="8">
        <f t="shared" si="32"/>
        <v>93.66</v>
      </c>
      <c r="H134" s="4">
        <f t="shared" si="24"/>
        <v>119.41649999999998</v>
      </c>
      <c r="I134" s="4">
        <f t="shared" si="25"/>
        <v>132.685</v>
      </c>
      <c r="J134" s="17">
        <v>450</v>
      </c>
      <c r="K134" s="7">
        <f t="shared" si="33"/>
        <v>35.699999999999996</v>
      </c>
      <c r="L134" s="7">
        <f t="shared" si="34"/>
        <v>28</v>
      </c>
      <c r="M134" s="7">
        <f t="shared" si="35"/>
        <v>25.2</v>
      </c>
      <c r="N134" s="7">
        <f t="shared" si="26"/>
        <v>12.605042016806724</v>
      </c>
      <c r="O134" s="7">
        <f t="shared" si="27"/>
        <v>16.071428571428573</v>
      </c>
      <c r="P134" s="4">
        <f t="shared" si="28"/>
        <v>17.857142857142858</v>
      </c>
      <c r="Q134" s="4">
        <f t="shared" si="29"/>
        <v>106.26504201680672</v>
      </c>
      <c r="R134" s="4">
        <f t="shared" si="30"/>
        <v>135.48792857142857</v>
      </c>
      <c r="S134" s="4">
        <f t="shared" si="31"/>
        <v>150.54214285714286</v>
      </c>
    </row>
    <row r="135" spans="1:19" ht="33" hidden="1" customHeight="1" x14ac:dyDescent="0.25">
      <c r="A135" s="5">
        <v>133</v>
      </c>
      <c r="B135" s="5">
        <v>430</v>
      </c>
      <c r="C135" s="6" t="s">
        <v>397</v>
      </c>
      <c r="D135" s="5">
        <v>64</v>
      </c>
      <c r="E135" s="7">
        <v>2.23</v>
      </c>
      <c r="F135" s="7">
        <f t="shared" si="23"/>
        <v>142.72</v>
      </c>
      <c r="G135" s="8">
        <f t="shared" si="32"/>
        <v>142.72</v>
      </c>
      <c r="H135" s="4">
        <f t="shared" si="24"/>
        <v>181.96799999999999</v>
      </c>
      <c r="I135" s="4">
        <f t="shared" si="25"/>
        <v>202.18666666666667</v>
      </c>
      <c r="J135" s="17">
        <v>450</v>
      </c>
      <c r="K135" s="7">
        <f t="shared" si="33"/>
        <v>35.699999999999996</v>
      </c>
      <c r="L135" s="7">
        <f t="shared" si="34"/>
        <v>28</v>
      </c>
      <c r="M135" s="7">
        <f t="shared" si="35"/>
        <v>25.2</v>
      </c>
      <c r="N135" s="7">
        <f t="shared" si="26"/>
        <v>12.605042016806724</v>
      </c>
      <c r="O135" s="7">
        <f t="shared" si="27"/>
        <v>16.071428571428573</v>
      </c>
      <c r="P135" s="4">
        <f t="shared" si="28"/>
        <v>17.857142857142858</v>
      </c>
      <c r="Q135" s="4">
        <f t="shared" si="29"/>
        <v>155.32504201680672</v>
      </c>
      <c r="R135" s="4">
        <f t="shared" si="30"/>
        <v>198.03942857142857</v>
      </c>
      <c r="S135" s="4">
        <f t="shared" si="31"/>
        <v>220.04380952380953</v>
      </c>
    </row>
    <row r="136" spans="1:19" ht="33" hidden="1" customHeight="1" x14ac:dyDescent="0.25">
      <c r="A136" s="5">
        <v>134</v>
      </c>
      <c r="B136" s="5">
        <v>432</v>
      </c>
      <c r="C136" s="6" t="s">
        <v>398</v>
      </c>
      <c r="D136" s="5">
        <v>90</v>
      </c>
      <c r="E136" s="7">
        <v>2.23</v>
      </c>
      <c r="F136" s="7">
        <f t="shared" si="23"/>
        <v>200.7</v>
      </c>
      <c r="G136" s="8">
        <f t="shared" si="32"/>
        <v>200.7</v>
      </c>
      <c r="H136" s="4">
        <f t="shared" si="24"/>
        <v>255.89249999999996</v>
      </c>
      <c r="I136" s="4">
        <f t="shared" si="25"/>
        <v>284.32499999999999</v>
      </c>
      <c r="J136" s="17">
        <v>450</v>
      </c>
      <c r="K136" s="7">
        <f t="shared" si="33"/>
        <v>35.699999999999996</v>
      </c>
      <c r="L136" s="7">
        <f t="shared" si="34"/>
        <v>28</v>
      </c>
      <c r="M136" s="7">
        <f t="shared" si="35"/>
        <v>25.2</v>
      </c>
      <c r="N136" s="7">
        <f t="shared" si="26"/>
        <v>12.605042016806724</v>
      </c>
      <c r="O136" s="7">
        <f t="shared" si="27"/>
        <v>16.071428571428573</v>
      </c>
      <c r="P136" s="4">
        <f t="shared" si="28"/>
        <v>17.857142857142858</v>
      </c>
      <c r="Q136" s="4">
        <f t="shared" si="29"/>
        <v>213.30504201680671</v>
      </c>
      <c r="R136" s="4">
        <f t="shared" si="30"/>
        <v>271.96392857142854</v>
      </c>
      <c r="S136" s="4">
        <f t="shared" si="31"/>
        <v>302.18214285714282</v>
      </c>
    </row>
    <row r="137" spans="1:19" ht="33" hidden="1" customHeight="1" x14ac:dyDescent="0.25">
      <c r="A137" s="5">
        <v>135</v>
      </c>
      <c r="B137" s="5">
        <v>57</v>
      </c>
      <c r="C137" s="6" t="s">
        <v>176</v>
      </c>
      <c r="D137" s="5">
        <v>257</v>
      </c>
      <c r="E137" s="7">
        <v>2.23</v>
      </c>
      <c r="F137" s="7">
        <f t="shared" si="23"/>
        <v>573.11</v>
      </c>
      <c r="G137" s="8">
        <f t="shared" si="32"/>
        <v>573.11</v>
      </c>
      <c r="H137" s="4">
        <f t="shared" si="24"/>
        <v>730.71524999999997</v>
      </c>
      <c r="I137" s="4">
        <f t="shared" si="25"/>
        <v>811.90583333333336</v>
      </c>
      <c r="J137" s="17">
        <v>260</v>
      </c>
      <c r="K137" s="7">
        <f t="shared" si="33"/>
        <v>35.699999999999996</v>
      </c>
      <c r="L137" s="7">
        <f t="shared" si="34"/>
        <v>28</v>
      </c>
      <c r="M137" s="7">
        <f t="shared" si="35"/>
        <v>25.2</v>
      </c>
      <c r="N137" s="7">
        <f t="shared" si="26"/>
        <v>7.2829131652661072</v>
      </c>
      <c r="O137" s="7">
        <f t="shared" si="27"/>
        <v>9.2857142857142865</v>
      </c>
      <c r="P137" s="4">
        <f t="shared" si="28"/>
        <v>10.317460317460318</v>
      </c>
      <c r="Q137" s="4">
        <f t="shared" si="29"/>
        <v>580.39291316526612</v>
      </c>
      <c r="R137" s="4">
        <f t="shared" si="30"/>
        <v>740.0009642857143</v>
      </c>
      <c r="S137" s="4">
        <f t="shared" si="31"/>
        <v>822.22329365079372</v>
      </c>
    </row>
    <row r="138" spans="1:19" ht="33" hidden="1" customHeight="1" x14ac:dyDescent="0.25">
      <c r="A138" s="5">
        <v>136</v>
      </c>
      <c r="B138" s="5">
        <v>133</v>
      </c>
      <c r="C138" s="6" t="s">
        <v>177</v>
      </c>
      <c r="D138" s="5">
        <v>350</v>
      </c>
      <c r="E138" s="7">
        <v>2.23</v>
      </c>
      <c r="F138" s="7">
        <f t="shared" si="23"/>
        <v>780.5</v>
      </c>
      <c r="G138" s="8">
        <f t="shared" si="32"/>
        <v>780.5</v>
      </c>
      <c r="H138" s="4">
        <f t="shared" si="24"/>
        <v>995.13749999999993</v>
      </c>
      <c r="I138" s="4">
        <f t="shared" si="25"/>
        <v>1105.7083333333333</v>
      </c>
      <c r="J138" s="17">
        <v>290</v>
      </c>
      <c r="K138" s="7">
        <f t="shared" si="33"/>
        <v>35.699999999999996</v>
      </c>
      <c r="L138" s="7">
        <f t="shared" si="34"/>
        <v>28</v>
      </c>
      <c r="M138" s="7">
        <f t="shared" si="35"/>
        <v>25.2</v>
      </c>
      <c r="N138" s="7">
        <f t="shared" si="26"/>
        <v>8.1232492997198893</v>
      </c>
      <c r="O138" s="7">
        <f t="shared" si="27"/>
        <v>10.357142857142858</v>
      </c>
      <c r="P138" s="4">
        <f t="shared" si="28"/>
        <v>11.507936507936508</v>
      </c>
      <c r="Q138" s="4">
        <f t="shared" si="29"/>
        <v>788.62324929971987</v>
      </c>
      <c r="R138" s="4">
        <f t="shared" si="30"/>
        <v>1005.4946428571428</v>
      </c>
      <c r="S138" s="4">
        <f t="shared" si="31"/>
        <v>1117.2162698412699</v>
      </c>
    </row>
    <row r="139" spans="1:19" ht="33" hidden="1" customHeight="1" x14ac:dyDescent="0.25">
      <c r="A139" s="5">
        <v>137</v>
      </c>
      <c r="B139" s="5">
        <v>40</v>
      </c>
      <c r="C139" s="6" t="s">
        <v>178</v>
      </c>
      <c r="D139" s="5">
        <v>203</v>
      </c>
      <c r="E139" s="7">
        <v>2.23</v>
      </c>
      <c r="F139" s="7">
        <f t="shared" si="23"/>
        <v>452.69</v>
      </c>
      <c r="G139" s="8">
        <f t="shared" si="32"/>
        <v>452.69</v>
      </c>
      <c r="H139" s="4">
        <f t="shared" si="24"/>
        <v>577.17975000000001</v>
      </c>
      <c r="I139" s="4">
        <f t="shared" si="25"/>
        <v>641.31083333333333</v>
      </c>
      <c r="J139" s="17">
        <v>200</v>
      </c>
      <c r="K139" s="7">
        <f t="shared" si="33"/>
        <v>35.699999999999996</v>
      </c>
      <c r="L139" s="7">
        <f t="shared" si="34"/>
        <v>28</v>
      </c>
      <c r="M139" s="7">
        <f t="shared" si="35"/>
        <v>25.2</v>
      </c>
      <c r="N139" s="7">
        <f t="shared" si="26"/>
        <v>5.6022408963585439</v>
      </c>
      <c r="O139" s="7">
        <f t="shared" si="27"/>
        <v>7.1428571428571432</v>
      </c>
      <c r="P139" s="4">
        <f t="shared" si="28"/>
        <v>7.9365079365079367</v>
      </c>
      <c r="Q139" s="4">
        <f t="shared" si="29"/>
        <v>458.29224089635852</v>
      </c>
      <c r="R139" s="4">
        <f t="shared" si="30"/>
        <v>584.32260714285712</v>
      </c>
      <c r="S139" s="4">
        <f t="shared" si="31"/>
        <v>649.24734126984129</v>
      </c>
    </row>
    <row r="140" spans="1:19" ht="33" hidden="1" customHeight="1" x14ac:dyDescent="0.25">
      <c r="A140" s="5">
        <v>138</v>
      </c>
      <c r="B140" s="5">
        <v>41</v>
      </c>
      <c r="C140" s="6" t="s">
        <v>179</v>
      </c>
      <c r="D140" s="5">
        <v>166</v>
      </c>
      <c r="E140" s="7">
        <v>2.23</v>
      </c>
      <c r="F140" s="7">
        <f t="shared" ref="F140:F216" si="56">D140*E140</f>
        <v>370.18</v>
      </c>
      <c r="G140" s="8">
        <f t="shared" si="32"/>
        <v>370.18</v>
      </c>
      <c r="H140" s="4">
        <f t="shared" ref="H140:H216" si="57">F140*(51/40)</f>
        <v>471.97949999999997</v>
      </c>
      <c r="I140" s="4">
        <f t="shared" ref="I140:I166" si="58">(F140*51)/36</f>
        <v>524.42166666666662</v>
      </c>
      <c r="J140" s="17">
        <v>200</v>
      </c>
      <c r="K140" s="7">
        <f t="shared" si="33"/>
        <v>35.699999999999996</v>
      </c>
      <c r="L140" s="7">
        <f t="shared" si="34"/>
        <v>28</v>
      </c>
      <c r="M140" s="7">
        <f t="shared" si="35"/>
        <v>25.2</v>
      </c>
      <c r="N140" s="7">
        <f t="shared" ref="N140:N216" si="59">J140/K140</f>
        <v>5.6022408963585439</v>
      </c>
      <c r="O140" s="7">
        <f t="shared" ref="O140:O216" si="60">J140/L140</f>
        <v>7.1428571428571432</v>
      </c>
      <c r="P140" s="4">
        <f t="shared" ref="P140:P216" si="61">J140/M140</f>
        <v>7.9365079365079367</v>
      </c>
      <c r="Q140" s="4">
        <f t="shared" ref="Q140:Q216" si="62">F140+N140</f>
        <v>375.78224089635853</v>
      </c>
      <c r="R140" s="4">
        <f t="shared" ref="R140:R216" si="63">H140+O140</f>
        <v>479.12235714285714</v>
      </c>
      <c r="S140" s="4">
        <f t="shared" ref="S140:S216" si="64">I140+P140</f>
        <v>532.35817460317458</v>
      </c>
    </row>
    <row r="141" spans="1:19" ht="33" hidden="1" customHeight="1" x14ac:dyDescent="0.25">
      <c r="A141" s="5">
        <v>139</v>
      </c>
      <c r="B141" s="5">
        <v>42</v>
      </c>
      <c r="C141" s="6" t="s">
        <v>180</v>
      </c>
      <c r="D141" s="5">
        <v>265</v>
      </c>
      <c r="E141" s="7">
        <v>2.23</v>
      </c>
      <c r="F141" s="7">
        <f t="shared" si="56"/>
        <v>590.95000000000005</v>
      </c>
      <c r="G141" s="8">
        <f t="shared" si="32"/>
        <v>590.95000000000005</v>
      </c>
      <c r="H141" s="4">
        <f t="shared" si="57"/>
        <v>753.46124999999995</v>
      </c>
      <c r="I141" s="4">
        <f t="shared" si="58"/>
        <v>837.17916666666667</v>
      </c>
      <c r="J141" s="17">
        <v>200</v>
      </c>
      <c r="K141" s="7">
        <f t="shared" si="33"/>
        <v>35.699999999999996</v>
      </c>
      <c r="L141" s="7">
        <f t="shared" si="34"/>
        <v>28</v>
      </c>
      <c r="M141" s="7">
        <f t="shared" si="35"/>
        <v>25.2</v>
      </c>
      <c r="N141" s="7">
        <f t="shared" si="59"/>
        <v>5.6022408963585439</v>
      </c>
      <c r="O141" s="7">
        <f t="shared" si="60"/>
        <v>7.1428571428571432</v>
      </c>
      <c r="P141" s="4">
        <f t="shared" si="61"/>
        <v>7.9365079365079367</v>
      </c>
      <c r="Q141" s="4">
        <f t="shared" si="62"/>
        <v>596.55224089635863</v>
      </c>
      <c r="R141" s="4">
        <f t="shared" si="63"/>
        <v>760.60410714285706</v>
      </c>
      <c r="S141" s="4">
        <f t="shared" si="64"/>
        <v>845.11567460317463</v>
      </c>
    </row>
    <row r="142" spans="1:19" ht="33" hidden="1" customHeight="1" x14ac:dyDescent="0.25">
      <c r="A142" s="5">
        <v>140</v>
      </c>
      <c r="B142" s="5">
        <v>43</v>
      </c>
      <c r="C142" s="6" t="s">
        <v>181</v>
      </c>
      <c r="D142" s="5">
        <v>240</v>
      </c>
      <c r="E142" s="7">
        <v>2.23</v>
      </c>
      <c r="F142" s="7">
        <f t="shared" si="56"/>
        <v>535.20000000000005</v>
      </c>
      <c r="G142" s="8">
        <f t="shared" ref="G142:G218" si="65">F142*(51/51)</f>
        <v>535.20000000000005</v>
      </c>
      <c r="H142" s="4">
        <f t="shared" si="57"/>
        <v>682.38</v>
      </c>
      <c r="I142" s="4">
        <f t="shared" si="58"/>
        <v>758.2</v>
      </c>
      <c r="J142" s="17">
        <v>200</v>
      </c>
      <c r="K142" s="7">
        <f t="shared" ref="K142:K218" si="66">51*0.7</f>
        <v>35.699999999999996</v>
      </c>
      <c r="L142" s="7">
        <f t="shared" ref="L142:L218" si="67">40*0.7</f>
        <v>28</v>
      </c>
      <c r="M142" s="7">
        <f t="shared" ref="M142:M218" si="68">36*0.7</f>
        <v>25.2</v>
      </c>
      <c r="N142" s="7">
        <f t="shared" si="59"/>
        <v>5.6022408963585439</v>
      </c>
      <c r="O142" s="7">
        <f t="shared" si="60"/>
        <v>7.1428571428571432</v>
      </c>
      <c r="P142" s="4">
        <f t="shared" si="61"/>
        <v>7.9365079365079367</v>
      </c>
      <c r="Q142" s="4">
        <f t="shared" si="62"/>
        <v>540.80224089635863</v>
      </c>
      <c r="R142" s="4">
        <f t="shared" si="63"/>
        <v>689.52285714285711</v>
      </c>
      <c r="S142" s="4">
        <f t="shared" si="64"/>
        <v>766.136507936508</v>
      </c>
    </row>
    <row r="143" spans="1:19" ht="33" hidden="1" customHeight="1" x14ac:dyDescent="0.25">
      <c r="A143" s="5">
        <v>141</v>
      </c>
      <c r="B143" s="5">
        <v>44</v>
      </c>
      <c r="C143" s="6" t="s">
        <v>182</v>
      </c>
      <c r="D143" s="5">
        <v>306</v>
      </c>
      <c r="E143" s="7">
        <v>2.23</v>
      </c>
      <c r="F143" s="7">
        <f t="shared" si="56"/>
        <v>682.38</v>
      </c>
      <c r="G143" s="8">
        <f t="shared" si="65"/>
        <v>682.38</v>
      </c>
      <c r="H143" s="4">
        <f t="shared" si="57"/>
        <v>870.03449999999998</v>
      </c>
      <c r="I143" s="4">
        <f t="shared" si="58"/>
        <v>966.70499999999993</v>
      </c>
      <c r="J143" s="17">
        <v>260</v>
      </c>
      <c r="K143" s="7">
        <f t="shared" si="66"/>
        <v>35.699999999999996</v>
      </c>
      <c r="L143" s="7">
        <f t="shared" si="67"/>
        <v>28</v>
      </c>
      <c r="M143" s="7">
        <f t="shared" si="68"/>
        <v>25.2</v>
      </c>
      <c r="N143" s="7">
        <f t="shared" si="59"/>
        <v>7.2829131652661072</v>
      </c>
      <c r="O143" s="7">
        <f t="shared" si="60"/>
        <v>9.2857142857142865</v>
      </c>
      <c r="P143" s="4">
        <f t="shared" si="61"/>
        <v>10.317460317460318</v>
      </c>
      <c r="Q143" s="4">
        <f t="shared" si="62"/>
        <v>689.6629131652661</v>
      </c>
      <c r="R143" s="4">
        <f t="shared" si="63"/>
        <v>879.32021428571431</v>
      </c>
      <c r="S143" s="4">
        <f t="shared" si="64"/>
        <v>977.02246031746029</v>
      </c>
    </row>
    <row r="144" spans="1:19" ht="33" hidden="1" customHeight="1" x14ac:dyDescent="0.25">
      <c r="A144" s="5">
        <v>142</v>
      </c>
      <c r="B144" s="5">
        <v>45</v>
      </c>
      <c r="C144" s="6" t="s">
        <v>183</v>
      </c>
      <c r="D144" s="5">
        <v>286</v>
      </c>
      <c r="E144" s="7">
        <v>2.23</v>
      </c>
      <c r="F144" s="7">
        <f t="shared" si="56"/>
        <v>637.78</v>
      </c>
      <c r="G144" s="8">
        <f t="shared" si="65"/>
        <v>637.78</v>
      </c>
      <c r="H144" s="4">
        <f t="shared" si="57"/>
        <v>813.16949999999986</v>
      </c>
      <c r="I144" s="4">
        <f t="shared" si="58"/>
        <v>903.52166666666665</v>
      </c>
      <c r="J144" s="17">
        <v>200</v>
      </c>
      <c r="K144" s="7">
        <f t="shared" si="66"/>
        <v>35.699999999999996</v>
      </c>
      <c r="L144" s="7">
        <f t="shared" si="67"/>
        <v>28</v>
      </c>
      <c r="M144" s="7">
        <f t="shared" si="68"/>
        <v>25.2</v>
      </c>
      <c r="N144" s="7">
        <f t="shared" si="59"/>
        <v>5.6022408963585439</v>
      </c>
      <c r="O144" s="7">
        <f t="shared" si="60"/>
        <v>7.1428571428571432</v>
      </c>
      <c r="P144" s="4">
        <f t="shared" si="61"/>
        <v>7.9365079365079367</v>
      </c>
      <c r="Q144" s="4">
        <f t="shared" si="62"/>
        <v>643.38224089635855</v>
      </c>
      <c r="R144" s="4">
        <f t="shared" si="63"/>
        <v>820.31235714285697</v>
      </c>
      <c r="S144" s="4">
        <f t="shared" si="64"/>
        <v>911.4581746031746</v>
      </c>
    </row>
    <row r="145" spans="1:19" ht="33" hidden="1" customHeight="1" x14ac:dyDescent="0.25">
      <c r="A145" s="5">
        <v>143</v>
      </c>
      <c r="B145" s="5">
        <v>46</v>
      </c>
      <c r="C145" s="6" t="s">
        <v>184</v>
      </c>
      <c r="D145" s="5">
        <v>275</v>
      </c>
      <c r="E145" s="7">
        <v>2.23</v>
      </c>
      <c r="F145" s="7">
        <f t="shared" si="56"/>
        <v>613.25</v>
      </c>
      <c r="G145" s="8">
        <f t="shared" si="65"/>
        <v>613.25</v>
      </c>
      <c r="H145" s="4">
        <f t="shared" si="57"/>
        <v>781.89374999999995</v>
      </c>
      <c r="I145" s="4">
        <f t="shared" si="58"/>
        <v>868.77083333333337</v>
      </c>
      <c r="J145" s="17">
        <v>320</v>
      </c>
      <c r="K145" s="7">
        <f t="shared" si="66"/>
        <v>35.699999999999996</v>
      </c>
      <c r="L145" s="7">
        <f t="shared" si="67"/>
        <v>28</v>
      </c>
      <c r="M145" s="7">
        <f t="shared" si="68"/>
        <v>25.2</v>
      </c>
      <c r="N145" s="7">
        <f t="shared" si="59"/>
        <v>8.9635854341736714</v>
      </c>
      <c r="O145" s="7">
        <f t="shared" si="60"/>
        <v>11.428571428571429</v>
      </c>
      <c r="P145" s="4">
        <f t="shared" si="61"/>
        <v>12.698412698412699</v>
      </c>
      <c r="Q145" s="4">
        <f t="shared" si="62"/>
        <v>622.21358543417364</v>
      </c>
      <c r="R145" s="4">
        <f t="shared" si="63"/>
        <v>793.3223214285714</v>
      </c>
      <c r="S145" s="4">
        <f t="shared" si="64"/>
        <v>881.46924603174602</v>
      </c>
    </row>
    <row r="146" spans="1:19" ht="33" hidden="1" customHeight="1" x14ac:dyDescent="0.25">
      <c r="A146" s="5">
        <v>144</v>
      </c>
      <c r="B146" s="5">
        <v>47</v>
      </c>
      <c r="C146" s="6" t="s">
        <v>185</v>
      </c>
      <c r="D146" s="5">
        <v>307</v>
      </c>
      <c r="E146" s="7">
        <v>2.23</v>
      </c>
      <c r="F146" s="7">
        <f t="shared" si="56"/>
        <v>684.61</v>
      </c>
      <c r="G146" s="8">
        <f t="shared" si="65"/>
        <v>684.61</v>
      </c>
      <c r="H146" s="4">
        <f t="shared" si="57"/>
        <v>872.87774999999999</v>
      </c>
      <c r="I146" s="4">
        <f t="shared" si="58"/>
        <v>969.86416666666673</v>
      </c>
      <c r="J146" s="17">
        <v>320</v>
      </c>
      <c r="K146" s="7">
        <f t="shared" si="66"/>
        <v>35.699999999999996</v>
      </c>
      <c r="L146" s="7">
        <f t="shared" si="67"/>
        <v>28</v>
      </c>
      <c r="M146" s="7">
        <f t="shared" si="68"/>
        <v>25.2</v>
      </c>
      <c r="N146" s="7">
        <f t="shared" si="59"/>
        <v>8.9635854341736714</v>
      </c>
      <c r="O146" s="7">
        <f t="shared" si="60"/>
        <v>11.428571428571429</v>
      </c>
      <c r="P146" s="4">
        <f t="shared" si="61"/>
        <v>12.698412698412699</v>
      </c>
      <c r="Q146" s="4">
        <f t="shared" si="62"/>
        <v>693.57358543417365</v>
      </c>
      <c r="R146" s="4">
        <f t="shared" si="63"/>
        <v>884.30632142857144</v>
      </c>
      <c r="S146" s="4">
        <f t="shared" si="64"/>
        <v>982.56257936507939</v>
      </c>
    </row>
    <row r="147" spans="1:19" ht="33" hidden="1" customHeight="1" x14ac:dyDescent="0.25">
      <c r="A147" s="5">
        <v>145</v>
      </c>
      <c r="B147" s="5">
        <v>149</v>
      </c>
      <c r="C147" s="6" t="s">
        <v>186</v>
      </c>
      <c r="D147" s="5">
        <v>319</v>
      </c>
      <c r="E147" s="7">
        <v>2.23</v>
      </c>
      <c r="F147" s="7">
        <f t="shared" si="56"/>
        <v>711.37</v>
      </c>
      <c r="G147" s="8">
        <f t="shared" si="65"/>
        <v>711.37</v>
      </c>
      <c r="H147" s="4">
        <f t="shared" si="57"/>
        <v>906.99674999999991</v>
      </c>
      <c r="I147" s="4">
        <f t="shared" si="58"/>
        <v>1007.7741666666667</v>
      </c>
      <c r="J147" s="17">
        <v>290</v>
      </c>
      <c r="K147" s="7">
        <f t="shared" si="66"/>
        <v>35.699999999999996</v>
      </c>
      <c r="L147" s="7">
        <f t="shared" si="67"/>
        <v>28</v>
      </c>
      <c r="M147" s="7">
        <f t="shared" si="68"/>
        <v>25.2</v>
      </c>
      <c r="N147" s="7">
        <f t="shared" si="59"/>
        <v>8.1232492997198893</v>
      </c>
      <c r="O147" s="7">
        <f t="shared" si="60"/>
        <v>10.357142857142858</v>
      </c>
      <c r="P147" s="4">
        <f t="shared" si="61"/>
        <v>11.507936507936508</v>
      </c>
      <c r="Q147" s="4">
        <f t="shared" si="62"/>
        <v>719.49324929971988</v>
      </c>
      <c r="R147" s="4">
        <f t="shared" si="63"/>
        <v>917.3538928571428</v>
      </c>
      <c r="S147" s="4">
        <f t="shared" si="64"/>
        <v>1019.2821031746032</v>
      </c>
    </row>
    <row r="148" spans="1:19" ht="33" hidden="1" customHeight="1" x14ac:dyDescent="0.25">
      <c r="A148" s="5">
        <v>146</v>
      </c>
      <c r="B148" s="5">
        <v>204</v>
      </c>
      <c r="C148" s="6" t="s">
        <v>187</v>
      </c>
      <c r="D148" s="5">
        <v>234</v>
      </c>
      <c r="E148" s="7">
        <v>2.23</v>
      </c>
      <c r="F148" s="7">
        <f t="shared" si="56"/>
        <v>521.82000000000005</v>
      </c>
      <c r="G148" s="8">
        <f t="shared" si="65"/>
        <v>521.82000000000005</v>
      </c>
      <c r="H148" s="4">
        <f t="shared" si="57"/>
        <v>665.32050000000004</v>
      </c>
      <c r="I148" s="4">
        <f t="shared" si="58"/>
        <v>739.24500000000012</v>
      </c>
      <c r="J148" s="17">
        <v>290</v>
      </c>
      <c r="K148" s="7">
        <f t="shared" si="66"/>
        <v>35.699999999999996</v>
      </c>
      <c r="L148" s="7">
        <f t="shared" si="67"/>
        <v>28</v>
      </c>
      <c r="M148" s="7">
        <f t="shared" si="68"/>
        <v>25.2</v>
      </c>
      <c r="N148" s="7">
        <f t="shared" si="59"/>
        <v>8.1232492997198893</v>
      </c>
      <c r="O148" s="7">
        <f t="shared" si="60"/>
        <v>10.357142857142858</v>
      </c>
      <c r="P148" s="4">
        <f t="shared" si="61"/>
        <v>11.507936507936508</v>
      </c>
      <c r="Q148" s="4">
        <f t="shared" si="62"/>
        <v>529.94324929971992</v>
      </c>
      <c r="R148" s="4">
        <f t="shared" si="63"/>
        <v>675.67764285714293</v>
      </c>
      <c r="S148" s="4">
        <f t="shared" si="64"/>
        <v>750.75293650793662</v>
      </c>
    </row>
    <row r="149" spans="1:19" ht="33" hidden="1" customHeight="1" x14ac:dyDescent="0.25">
      <c r="A149" s="5">
        <v>147</v>
      </c>
      <c r="B149" s="5">
        <v>35</v>
      </c>
      <c r="C149" s="6" t="s">
        <v>188</v>
      </c>
      <c r="D149" s="5">
        <v>171</v>
      </c>
      <c r="E149" s="7">
        <v>2.23</v>
      </c>
      <c r="F149" s="7">
        <f t="shared" si="56"/>
        <v>381.33</v>
      </c>
      <c r="G149" s="8">
        <f t="shared" si="65"/>
        <v>381.33</v>
      </c>
      <c r="H149" s="4">
        <f t="shared" si="57"/>
        <v>486.19574999999992</v>
      </c>
      <c r="I149" s="4">
        <f t="shared" si="58"/>
        <v>540.21749999999997</v>
      </c>
      <c r="J149" s="17">
        <v>2955</v>
      </c>
      <c r="K149" s="7">
        <f t="shared" si="66"/>
        <v>35.699999999999996</v>
      </c>
      <c r="L149" s="7">
        <f t="shared" si="67"/>
        <v>28</v>
      </c>
      <c r="M149" s="7">
        <f t="shared" si="68"/>
        <v>25.2</v>
      </c>
      <c r="N149" s="7">
        <f t="shared" si="59"/>
        <v>82.77310924369749</v>
      </c>
      <c r="O149" s="7">
        <f t="shared" si="60"/>
        <v>105.53571428571429</v>
      </c>
      <c r="P149" s="4">
        <f t="shared" si="61"/>
        <v>117.26190476190476</v>
      </c>
      <c r="Q149" s="4">
        <f t="shared" si="62"/>
        <v>464.10310924369747</v>
      </c>
      <c r="R149" s="4">
        <f t="shared" si="63"/>
        <v>591.7314642857142</v>
      </c>
      <c r="S149" s="4">
        <f t="shared" si="64"/>
        <v>657.47940476190479</v>
      </c>
    </row>
    <row r="150" spans="1:19" ht="33" hidden="1" customHeight="1" x14ac:dyDescent="0.25">
      <c r="A150" s="5">
        <v>148</v>
      </c>
      <c r="B150" s="5">
        <v>198</v>
      </c>
      <c r="C150" s="6" t="s">
        <v>189</v>
      </c>
      <c r="D150" s="5">
        <v>210</v>
      </c>
      <c r="E150" s="7">
        <v>2.23</v>
      </c>
      <c r="F150" s="7">
        <f t="shared" si="56"/>
        <v>468.3</v>
      </c>
      <c r="G150" s="8">
        <f t="shared" si="65"/>
        <v>468.3</v>
      </c>
      <c r="H150" s="4">
        <f t="shared" si="57"/>
        <v>597.08249999999998</v>
      </c>
      <c r="I150" s="4">
        <f t="shared" si="58"/>
        <v>663.42499999999995</v>
      </c>
      <c r="J150" s="17">
        <v>3615</v>
      </c>
      <c r="K150" s="7">
        <f t="shared" si="66"/>
        <v>35.699999999999996</v>
      </c>
      <c r="L150" s="7">
        <f t="shared" si="67"/>
        <v>28</v>
      </c>
      <c r="M150" s="7">
        <f t="shared" si="68"/>
        <v>25.2</v>
      </c>
      <c r="N150" s="7">
        <f t="shared" si="59"/>
        <v>101.26050420168069</v>
      </c>
      <c r="O150" s="7">
        <f t="shared" si="60"/>
        <v>129.10714285714286</v>
      </c>
      <c r="P150" s="4">
        <f t="shared" si="61"/>
        <v>143.45238095238096</v>
      </c>
      <c r="Q150" s="4">
        <f t="shared" si="62"/>
        <v>569.56050420168071</v>
      </c>
      <c r="R150" s="4">
        <f t="shared" si="63"/>
        <v>726.18964285714287</v>
      </c>
      <c r="S150" s="4">
        <f t="shared" si="64"/>
        <v>806.87738095238092</v>
      </c>
    </row>
    <row r="151" spans="1:19" ht="33" hidden="1" customHeight="1" x14ac:dyDescent="0.25">
      <c r="A151" s="5">
        <v>149</v>
      </c>
      <c r="B151" s="5">
        <v>342</v>
      </c>
      <c r="C151" s="6" t="s">
        <v>190</v>
      </c>
      <c r="D151" s="5">
        <v>342</v>
      </c>
      <c r="E151" s="7">
        <v>2.23</v>
      </c>
      <c r="F151" s="7">
        <f t="shared" si="56"/>
        <v>762.66</v>
      </c>
      <c r="G151" s="8">
        <f t="shared" si="65"/>
        <v>762.66</v>
      </c>
      <c r="H151" s="4">
        <f t="shared" si="57"/>
        <v>972.39149999999984</v>
      </c>
      <c r="I151" s="4">
        <f t="shared" si="58"/>
        <v>1080.4349999999999</v>
      </c>
      <c r="J151" s="17">
        <v>5555</v>
      </c>
      <c r="K151" s="7">
        <f t="shared" si="66"/>
        <v>35.699999999999996</v>
      </c>
      <c r="L151" s="7">
        <f t="shared" si="67"/>
        <v>28</v>
      </c>
      <c r="M151" s="7">
        <f t="shared" si="68"/>
        <v>25.2</v>
      </c>
      <c r="N151" s="7">
        <f t="shared" si="59"/>
        <v>155.60224089635855</v>
      </c>
      <c r="O151" s="7">
        <f t="shared" si="60"/>
        <v>198.39285714285714</v>
      </c>
      <c r="P151" s="4">
        <f t="shared" si="61"/>
        <v>220.43650793650795</v>
      </c>
      <c r="Q151" s="4">
        <f t="shared" si="62"/>
        <v>918.26224089635855</v>
      </c>
      <c r="R151" s="4">
        <f t="shared" si="63"/>
        <v>1170.7843571428571</v>
      </c>
      <c r="S151" s="4">
        <f t="shared" si="64"/>
        <v>1300.8715079365079</v>
      </c>
    </row>
    <row r="152" spans="1:19" ht="33" hidden="1" customHeight="1" x14ac:dyDescent="0.25">
      <c r="A152" s="5">
        <v>150</v>
      </c>
      <c r="B152" s="5">
        <v>344</v>
      </c>
      <c r="C152" s="6" t="s">
        <v>191</v>
      </c>
      <c r="D152" s="5">
        <v>278</v>
      </c>
      <c r="E152" s="7">
        <v>2.23</v>
      </c>
      <c r="F152" s="7">
        <f t="shared" si="56"/>
        <v>619.93999999999994</v>
      </c>
      <c r="G152" s="8">
        <f t="shared" si="65"/>
        <v>619.93999999999994</v>
      </c>
      <c r="H152" s="4">
        <f t="shared" si="57"/>
        <v>790.42349999999988</v>
      </c>
      <c r="I152" s="4">
        <f t="shared" si="58"/>
        <v>878.24833333333333</v>
      </c>
      <c r="J152" s="17">
        <v>4940</v>
      </c>
      <c r="K152" s="7">
        <f t="shared" si="66"/>
        <v>35.699999999999996</v>
      </c>
      <c r="L152" s="7">
        <f t="shared" si="67"/>
        <v>28</v>
      </c>
      <c r="M152" s="7">
        <f t="shared" si="68"/>
        <v>25.2</v>
      </c>
      <c r="N152" s="7">
        <f t="shared" si="59"/>
        <v>138.37535014005604</v>
      </c>
      <c r="O152" s="7">
        <f t="shared" si="60"/>
        <v>176.42857142857142</v>
      </c>
      <c r="P152" s="4">
        <f t="shared" si="61"/>
        <v>196.03174603174602</v>
      </c>
      <c r="Q152" s="4">
        <f t="shared" si="62"/>
        <v>758.31535014005601</v>
      </c>
      <c r="R152" s="4">
        <f t="shared" si="63"/>
        <v>966.85207142857132</v>
      </c>
      <c r="S152" s="4">
        <f t="shared" si="64"/>
        <v>1074.2800793650795</v>
      </c>
    </row>
    <row r="153" spans="1:19" ht="33" hidden="1" customHeight="1" x14ac:dyDescent="0.25">
      <c r="A153" s="5">
        <v>151</v>
      </c>
      <c r="B153" s="5">
        <v>157</v>
      </c>
      <c r="C153" s="6" t="s">
        <v>192</v>
      </c>
      <c r="D153" s="12">
        <v>225</v>
      </c>
      <c r="E153" s="7">
        <v>2.23</v>
      </c>
      <c r="F153" s="7">
        <f t="shared" si="56"/>
        <v>501.75</v>
      </c>
      <c r="G153" s="8">
        <f t="shared" si="65"/>
        <v>501.75</v>
      </c>
      <c r="H153" s="4">
        <f t="shared" si="57"/>
        <v>639.73124999999993</v>
      </c>
      <c r="I153" s="4">
        <f t="shared" si="58"/>
        <v>710.8125</v>
      </c>
      <c r="J153" s="17">
        <v>3150</v>
      </c>
      <c r="K153" s="7">
        <f t="shared" si="66"/>
        <v>35.699999999999996</v>
      </c>
      <c r="L153" s="7">
        <f t="shared" si="67"/>
        <v>28</v>
      </c>
      <c r="M153" s="7">
        <f t="shared" si="68"/>
        <v>25.2</v>
      </c>
      <c r="N153" s="7">
        <f t="shared" si="59"/>
        <v>88.235294117647072</v>
      </c>
      <c r="O153" s="7">
        <f t="shared" si="60"/>
        <v>112.5</v>
      </c>
      <c r="P153" s="4">
        <f t="shared" si="61"/>
        <v>125</v>
      </c>
      <c r="Q153" s="4">
        <f t="shared" si="62"/>
        <v>589.98529411764707</v>
      </c>
      <c r="R153" s="4">
        <f t="shared" si="63"/>
        <v>752.23124999999993</v>
      </c>
      <c r="S153" s="4">
        <f t="shared" si="64"/>
        <v>835.8125</v>
      </c>
    </row>
    <row r="154" spans="1:19" ht="33" hidden="1" customHeight="1" x14ac:dyDescent="0.25">
      <c r="A154" s="5">
        <v>152</v>
      </c>
      <c r="B154" s="5">
        <v>352</v>
      </c>
      <c r="C154" s="6" t="s">
        <v>193</v>
      </c>
      <c r="D154" s="5">
        <v>224</v>
      </c>
      <c r="E154" s="7">
        <v>2.23</v>
      </c>
      <c r="F154" s="7">
        <f t="shared" si="56"/>
        <v>499.52</v>
      </c>
      <c r="G154" s="8">
        <f t="shared" si="65"/>
        <v>499.52</v>
      </c>
      <c r="H154" s="4">
        <f t="shared" si="57"/>
        <v>636.88799999999992</v>
      </c>
      <c r="I154" s="4">
        <f t="shared" si="58"/>
        <v>707.65333333333331</v>
      </c>
      <c r="J154" s="17">
        <v>3035</v>
      </c>
      <c r="K154" s="7">
        <f t="shared" si="66"/>
        <v>35.699999999999996</v>
      </c>
      <c r="L154" s="7">
        <f t="shared" si="67"/>
        <v>28</v>
      </c>
      <c r="M154" s="7">
        <f t="shared" si="68"/>
        <v>25.2</v>
      </c>
      <c r="N154" s="7">
        <f t="shared" si="59"/>
        <v>85.0140056022409</v>
      </c>
      <c r="O154" s="7">
        <f t="shared" si="60"/>
        <v>108.39285714285714</v>
      </c>
      <c r="P154" s="4">
        <f t="shared" si="61"/>
        <v>120.43650793650794</v>
      </c>
      <c r="Q154" s="4">
        <f t="shared" si="62"/>
        <v>584.53400560224088</v>
      </c>
      <c r="R154" s="4">
        <f t="shared" si="63"/>
        <v>745.28085714285703</v>
      </c>
      <c r="S154" s="4">
        <f t="shared" si="64"/>
        <v>828.08984126984126</v>
      </c>
    </row>
    <row r="155" spans="1:19" ht="33" hidden="1" customHeight="1" x14ac:dyDescent="0.25">
      <c r="A155" s="5">
        <v>153</v>
      </c>
      <c r="B155" s="5">
        <v>452</v>
      </c>
      <c r="C155" s="6" t="s">
        <v>399</v>
      </c>
      <c r="D155" s="5">
        <v>203</v>
      </c>
      <c r="E155" s="7">
        <v>2.23</v>
      </c>
      <c r="F155" s="7">
        <f t="shared" si="56"/>
        <v>452.69</v>
      </c>
      <c r="G155" s="8">
        <f t="shared" si="65"/>
        <v>452.69</v>
      </c>
      <c r="H155" s="4">
        <f t="shared" si="57"/>
        <v>577.17975000000001</v>
      </c>
      <c r="I155" s="4">
        <f t="shared" si="58"/>
        <v>641.31083333333333</v>
      </c>
      <c r="J155" s="17">
        <v>2805</v>
      </c>
      <c r="K155" s="7">
        <f t="shared" si="66"/>
        <v>35.699999999999996</v>
      </c>
      <c r="L155" s="7">
        <f t="shared" si="67"/>
        <v>28</v>
      </c>
      <c r="M155" s="7">
        <f t="shared" si="68"/>
        <v>25.2</v>
      </c>
      <c r="N155" s="7">
        <f t="shared" si="59"/>
        <v>78.571428571428584</v>
      </c>
      <c r="O155" s="7">
        <f t="shared" si="60"/>
        <v>100.17857142857143</v>
      </c>
      <c r="P155" s="4">
        <f t="shared" si="61"/>
        <v>111.30952380952381</v>
      </c>
      <c r="Q155" s="4">
        <f t="shared" si="62"/>
        <v>531.26142857142861</v>
      </c>
      <c r="R155" s="4">
        <f t="shared" si="63"/>
        <v>677.35832142857146</v>
      </c>
      <c r="S155" s="4">
        <f t="shared" si="64"/>
        <v>752.62035714285719</v>
      </c>
    </row>
    <row r="156" spans="1:19" ht="33" hidden="1" customHeight="1" x14ac:dyDescent="0.25">
      <c r="A156" s="5">
        <v>154</v>
      </c>
      <c r="B156" s="5">
        <v>453</v>
      </c>
      <c r="C156" s="6" t="s">
        <v>400</v>
      </c>
      <c r="D156" s="5">
        <v>246</v>
      </c>
      <c r="E156" s="7">
        <v>2.23</v>
      </c>
      <c r="F156" s="7">
        <f t="shared" si="56"/>
        <v>548.58000000000004</v>
      </c>
      <c r="G156" s="8">
        <f t="shared" si="65"/>
        <v>548.58000000000004</v>
      </c>
      <c r="H156" s="4">
        <f t="shared" si="57"/>
        <v>699.43949999999995</v>
      </c>
      <c r="I156" s="4">
        <f t="shared" si="58"/>
        <v>777.15500000000009</v>
      </c>
      <c r="J156" s="17">
        <v>3095</v>
      </c>
      <c r="K156" s="7">
        <f t="shared" si="66"/>
        <v>35.699999999999996</v>
      </c>
      <c r="L156" s="7">
        <f t="shared" si="67"/>
        <v>28</v>
      </c>
      <c r="M156" s="7">
        <f t="shared" si="68"/>
        <v>25.2</v>
      </c>
      <c r="N156" s="7">
        <f t="shared" si="59"/>
        <v>86.694677871148471</v>
      </c>
      <c r="O156" s="7">
        <f t="shared" si="60"/>
        <v>110.53571428571429</v>
      </c>
      <c r="P156" s="4">
        <f t="shared" si="61"/>
        <v>122.81746031746032</v>
      </c>
      <c r="Q156" s="4">
        <f t="shared" si="62"/>
        <v>635.27467787114847</v>
      </c>
      <c r="R156" s="4">
        <f t="shared" si="63"/>
        <v>809.97521428571429</v>
      </c>
      <c r="S156" s="4">
        <f t="shared" si="64"/>
        <v>899.97246031746045</v>
      </c>
    </row>
    <row r="157" spans="1:19" ht="33" hidden="1" customHeight="1" x14ac:dyDescent="0.25">
      <c r="A157" s="5">
        <v>155</v>
      </c>
      <c r="B157" s="5">
        <v>458</v>
      </c>
      <c r="C157" s="6" t="s">
        <v>401</v>
      </c>
      <c r="D157" s="5">
        <v>253</v>
      </c>
      <c r="E157" s="7">
        <v>2.23</v>
      </c>
      <c r="F157" s="7">
        <f t="shared" si="56"/>
        <v>564.18999999999994</v>
      </c>
      <c r="G157" s="8">
        <f t="shared" si="65"/>
        <v>564.18999999999994</v>
      </c>
      <c r="H157" s="4">
        <f t="shared" si="57"/>
        <v>719.34224999999992</v>
      </c>
      <c r="I157" s="4">
        <f t="shared" si="58"/>
        <v>799.26916666666659</v>
      </c>
      <c r="J157" s="17">
        <v>3915</v>
      </c>
      <c r="K157" s="7">
        <f t="shared" si="66"/>
        <v>35.699999999999996</v>
      </c>
      <c r="L157" s="7">
        <f t="shared" si="67"/>
        <v>28</v>
      </c>
      <c r="M157" s="7">
        <f t="shared" si="68"/>
        <v>25.2</v>
      </c>
      <c r="N157" s="7">
        <f t="shared" si="59"/>
        <v>109.6638655462185</v>
      </c>
      <c r="O157" s="7">
        <f t="shared" si="60"/>
        <v>139.82142857142858</v>
      </c>
      <c r="P157" s="4">
        <f t="shared" si="61"/>
        <v>155.35714285714286</v>
      </c>
      <c r="Q157" s="4">
        <f t="shared" si="62"/>
        <v>673.85386554621846</v>
      </c>
      <c r="R157" s="4">
        <f t="shared" si="63"/>
        <v>859.16367857142848</v>
      </c>
      <c r="S157" s="4">
        <f t="shared" si="64"/>
        <v>954.62630952380948</v>
      </c>
    </row>
    <row r="158" spans="1:19" ht="33" hidden="1" customHeight="1" x14ac:dyDescent="0.25">
      <c r="A158" s="5">
        <v>156</v>
      </c>
      <c r="B158" s="5">
        <v>463</v>
      </c>
      <c r="C158" s="6" t="s">
        <v>194</v>
      </c>
      <c r="D158" s="5">
        <v>279</v>
      </c>
      <c r="E158" s="7">
        <v>2.23</v>
      </c>
      <c r="F158" s="7">
        <f t="shared" si="56"/>
        <v>622.16999999999996</v>
      </c>
      <c r="G158" s="8">
        <f t="shared" si="65"/>
        <v>622.16999999999996</v>
      </c>
      <c r="H158" s="4">
        <f t="shared" si="57"/>
        <v>793.26674999999989</v>
      </c>
      <c r="I158" s="4">
        <f t="shared" si="58"/>
        <v>881.40749999999991</v>
      </c>
      <c r="J158" s="17">
        <v>3040</v>
      </c>
      <c r="K158" s="7">
        <f t="shared" si="66"/>
        <v>35.699999999999996</v>
      </c>
      <c r="L158" s="7">
        <f t="shared" si="67"/>
        <v>28</v>
      </c>
      <c r="M158" s="7">
        <f t="shared" si="68"/>
        <v>25.2</v>
      </c>
      <c r="N158" s="7">
        <f t="shared" si="59"/>
        <v>85.15406162464987</v>
      </c>
      <c r="O158" s="7">
        <f t="shared" si="60"/>
        <v>108.57142857142857</v>
      </c>
      <c r="P158" s="4">
        <f t="shared" si="61"/>
        <v>120.63492063492063</v>
      </c>
      <c r="Q158" s="4">
        <f t="shared" si="62"/>
        <v>707.32406162464986</v>
      </c>
      <c r="R158" s="4">
        <f t="shared" si="63"/>
        <v>901.83817857142844</v>
      </c>
      <c r="S158" s="4">
        <f t="shared" si="64"/>
        <v>1002.0424206349205</v>
      </c>
    </row>
    <row r="159" spans="1:19" ht="33" hidden="1" customHeight="1" x14ac:dyDescent="0.25">
      <c r="A159" s="5">
        <v>157</v>
      </c>
      <c r="B159" s="5">
        <v>382</v>
      </c>
      <c r="C159" s="6" t="s">
        <v>195</v>
      </c>
      <c r="D159" s="5">
        <v>280</v>
      </c>
      <c r="E159" s="7">
        <v>2.23</v>
      </c>
      <c r="F159" s="7">
        <f t="shared" si="56"/>
        <v>624.4</v>
      </c>
      <c r="G159" s="8">
        <f t="shared" si="65"/>
        <v>624.4</v>
      </c>
      <c r="H159" s="4">
        <f t="shared" si="57"/>
        <v>796.1099999999999</v>
      </c>
      <c r="I159" s="4">
        <f t="shared" si="58"/>
        <v>884.56666666666661</v>
      </c>
      <c r="J159" s="17">
        <v>3885</v>
      </c>
      <c r="K159" s="7">
        <f t="shared" si="66"/>
        <v>35.699999999999996</v>
      </c>
      <c r="L159" s="7">
        <f t="shared" si="67"/>
        <v>28</v>
      </c>
      <c r="M159" s="7">
        <f t="shared" si="68"/>
        <v>25.2</v>
      </c>
      <c r="N159" s="7">
        <f t="shared" si="59"/>
        <v>108.82352941176472</v>
      </c>
      <c r="O159" s="7">
        <f t="shared" si="60"/>
        <v>138.75</v>
      </c>
      <c r="P159" s="4">
        <f t="shared" si="61"/>
        <v>154.16666666666666</v>
      </c>
      <c r="Q159" s="4">
        <f t="shared" si="62"/>
        <v>733.22352941176473</v>
      </c>
      <c r="R159" s="4">
        <f t="shared" si="63"/>
        <v>934.8599999999999</v>
      </c>
      <c r="S159" s="4">
        <f t="shared" si="64"/>
        <v>1038.7333333333333</v>
      </c>
    </row>
    <row r="160" spans="1:19" ht="33" hidden="1" customHeight="1" x14ac:dyDescent="0.25">
      <c r="A160" s="5">
        <v>158</v>
      </c>
      <c r="B160" s="5">
        <v>383</v>
      </c>
      <c r="C160" s="6" t="s">
        <v>402</v>
      </c>
      <c r="D160" s="5">
        <v>185</v>
      </c>
      <c r="E160" s="7">
        <v>2.23</v>
      </c>
      <c r="F160" s="7">
        <f t="shared" si="56"/>
        <v>412.55</v>
      </c>
      <c r="G160" s="8">
        <f t="shared" si="65"/>
        <v>412.55</v>
      </c>
      <c r="H160" s="4">
        <f t="shared" si="57"/>
        <v>526.00125000000003</v>
      </c>
      <c r="I160" s="4">
        <f t="shared" si="58"/>
        <v>584.44583333333333</v>
      </c>
      <c r="J160" s="17">
        <v>3045</v>
      </c>
      <c r="K160" s="7">
        <f t="shared" si="66"/>
        <v>35.699999999999996</v>
      </c>
      <c r="L160" s="7">
        <f t="shared" si="67"/>
        <v>28</v>
      </c>
      <c r="M160" s="7">
        <f t="shared" si="68"/>
        <v>25.2</v>
      </c>
      <c r="N160" s="7">
        <f t="shared" si="59"/>
        <v>85.29411764705884</v>
      </c>
      <c r="O160" s="7">
        <f t="shared" si="60"/>
        <v>108.75</v>
      </c>
      <c r="P160" s="4">
        <f t="shared" si="61"/>
        <v>120.83333333333334</v>
      </c>
      <c r="Q160" s="4">
        <f t="shared" si="62"/>
        <v>497.84411764705885</v>
      </c>
      <c r="R160" s="4">
        <f t="shared" si="63"/>
        <v>634.75125000000003</v>
      </c>
      <c r="S160" s="4">
        <f t="shared" si="64"/>
        <v>705.2791666666667</v>
      </c>
    </row>
    <row r="161" spans="1:19" ht="33" hidden="1" customHeight="1" x14ac:dyDescent="0.25">
      <c r="A161" s="5">
        <v>159</v>
      </c>
      <c r="B161" s="5">
        <v>96</v>
      </c>
      <c r="C161" s="6" t="s">
        <v>196</v>
      </c>
      <c r="D161" s="5">
        <v>205</v>
      </c>
      <c r="E161" s="7">
        <v>2.23</v>
      </c>
      <c r="F161" s="7">
        <f t="shared" si="56"/>
        <v>457.15</v>
      </c>
      <c r="G161" s="8">
        <f t="shared" si="65"/>
        <v>457.15</v>
      </c>
      <c r="H161" s="4">
        <f t="shared" si="57"/>
        <v>582.86624999999992</v>
      </c>
      <c r="I161" s="4">
        <f t="shared" si="58"/>
        <v>647.62916666666661</v>
      </c>
      <c r="J161" s="17">
        <v>2990</v>
      </c>
      <c r="K161" s="7">
        <f t="shared" si="66"/>
        <v>35.699999999999996</v>
      </c>
      <c r="L161" s="7">
        <f t="shared" si="67"/>
        <v>28</v>
      </c>
      <c r="M161" s="7">
        <f t="shared" si="68"/>
        <v>25.2</v>
      </c>
      <c r="N161" s="7">
        <f t="shared" si="59"/>
        <v>83.753501400560239</v>
      </c>
      <c r="O161" s="7">
        <f t="shared" si="60"/>
        <v>106.78571428571429</v>
      </c>
      <c r="P161" s="4">
        <f t="shared" si="61"/>
        <v>118.65079365079366</v>
      </c>
      <c r="Q161" s="4">
        <f t="shared" si="62"/>
        <v>540.90350140056023</v>
      </c>
      <c r="R161" s="4">
        <f t="shared" si="63"/>
        <v>689.65196428571426</v>
      </c>
      <c r="S161" s="4">
        <f t="shared" si="64"/>
        <v>766.27996031746022</v>
      </c>
    </row>
    <row r="162" spans="1:19" ht="33" hidden="1" customHeight="1" x14ac:dyDescent="0.25">
      <c r="A162" s="5">
        <v>160</v>
      </c>
      <c r="B162" s="5">
        <v>456</v>
      </c>
      <c r="C162" s="6" t="s">
        <v>403</v>
      </c>
      <c r="D162" s="5">
        <v>224</v>
      </c>
      <c r="E162" s="7">
        <v>2.23</v>
      </c>
      <c r="F162" s="7">
        <f t="shared" si="56"/>
        <v>499.52</v>
      </c>
      <c r="G162" s="8">
        <f t="shared" si="65"/>
        <v>499.52</v>
      </c>
      <c r="H162" s="4">
        <f t="shared" si="57"/>
        <v>636.88799999999992</v>
      </c>
      <c r="I162" s="4">
        <f t="shared" si="58"/>
        <v>707.65333333333331</v>
      </c>
      <c r="J162" s="17">
        <v>2960</v>
      </c>
      <c r="K162" s="7">
        <f t="shared" si="66"/>
        <v>35.699999999999996</v>
      </c>
      <c r="L162" s="7">
        <f t="shared" si="67"/>
        <v>28</v>
      </c>
      <c r="M162" s="7">
        <f t="shared" si="68"/>
        <v>25.2</v>
      </c>
      <c r="N162" s="7">
        <f t="shared" si="59"/>
        <v>82.913165266106446</v>
      </c>
      <c r="O162" s="7">
        <f t="shared" si="60"/>
        <v>105.71428571428571</v>
      </c>
      <c r="P162" s="4">
        <f t="shared" si="61"/>
        <v>117.46031746031747</v>
      </c>
      <c r="Q162" s="4">
        <f t="shared" si="62"/>
        <v>582.43316526610647</v>
      </c>
      <c r="R162" s="4">
        <f t="shared" si="63"/>
        <v>742.60228571428559</v>
      </c>
      <c r="S162" s="4">
        <f t="shared" si="64"/>
        <v>825.11365079365078</v>
      </c>
    </row>
    <row r="163" spans="1:19" ht="33" hidden="1" customHeight="1" x14ac:dyDescent="0.25">
      <c r="A163" s="5">
        <v>161</v>
      </c>
      <c r="B163" s="5">
        <v>457</v>
      </c>
      <c r="C163" s="6" t="s">
        <v>404</v>
      </c>
      <c r="D163" s="5">
        <v>253</v>
      </c>
      <c r="E163" s="7">
        <v>2.23</v>
      </c>
      <c r="F163" s="7">
        <f t="shared" si="56"/>
        <v>564.18999999999994</v>
      </c>
      <c r="G163" s="8">
        <f t="shared" si="65"/>
        <v>564.18999999999994</v>
      </c>
      <c r="H163" s="4">
        <f t="shared" si="57"/>
        <v>719.34224999999992</v>
      </c>
      <c r="I163" s="4">
        <f t="shared" si="58"/>
        <v>799.26916666666659</v>
      </c>
      <c r="J163" s="17">
        <v>2960</v>
      </c>
      <c r="K163" s="7">
        <f t="shared" si="66"/>
        <v>35.699999999999996</v>
      </c>
      <c r="L163" s="7">
        <f t="shared" si="67"/>
        <v>28</v>
      </c>
      <c r="M163" s="7">
        <f t="shared" si="68"/>
        <v>25.2</v>
      </c>
      <c r="N163" s="7">
        <f t="shared" si="59"/>
        <v>82.913165266106446</v>
      </c>
      <c r="O163" s="7">
        <f t="shared" si="60"/>
        <v>105.71428571428571</v>
      </c>
      <c r="P163" s="4">
        <f t="shared" si="61"/>
        <v>117.46031746031747</v>
      </c>
      <c r="Q163" s="4">
        <f t="shared" si="62"/>
        <v>647.10316526610643</v>
      </c>
      <c r="R163" s="4">
        <f t="shared" si="63"/>
        <v>825.05653571428559</v>
      </c>
      <c r="S163" s="4">
        <f t="shared" si="64"/>
        <v>916.72948412698406</v>
      </c>
    </row>
    <row r="164" spans="1:19" ht="33" hidden="1" customHeight="1" x14ac:dyDescent="0.25">
      <c r="A164" s="5">
        <v>162</v>
      </c>
      <c r="B164" s="5">
        <v>207</v>
      </c>
      <c r="C164" s="6" t="s">
        <v>197</v>
      </c>
      <c r="D164" s="5">
        <v>254</v>
      </c>
      <c r="E164" s="7">
        <v>2.23</v>
      </c>
      <c r="F164" s="7">
        <f t="shared" si="56"/>
        <v>566.41999999999996</v>
      </c>
      <c r="G164" s="8">
        <f t="shared" si="65"/>
        <v>566.41999999999996</v>
      </c>
      <c r="H164" s="4">
        <f t="shared" si="57"/>
        <v>722.18549999999993</v>
      </c>
      <c r="I164" s="4">
        <f t="shared" si="58"/>
        <v>802.42833333333328</v>
      </c>
      <c r="J164" s="17">
        <v>2730</v>
      </c>
      <c r="K164" s="7">
        <f t="shared" si="66"/>
        <v>35.699999999999996</v>
      </c>
      <c r="L164" s="7">
        <f t="shared" si="67"/>
        <v>28</v>
      </c>
      <c r="M164" s="7">
        <f t="shared" si="68"/>
        <v>25.2</v>
      </c>
      <c r="N164" s="7">
        <f t="shared" si="59"/>
        <v>76.47058823529413</v>
      </c>
      <c r="O164" s="7">
        <f t="shared" si="60"/>
        <v>97.5</v>
      </c>
      <c r="P164" s="4">
        <f t="shared" si="61"/>
        <v>108.33333333333334</v>
      </c>
      <c r="Q164" s="4">
        <f t="shared" si="62"/>
        <v>642.8905882352941</v>
      </c>
      <c r="R164" s="4">
        <f t="shared" si="63"/>
        <v>819.68549999999993</v>
      </c>
      <c r="S164" s="4">
        <f t="shared" si="64"/>
        <v>910.76166666666666</v>
      </c>
    </row>
    <row r="165" spans="1:19" ht="33" hidden="1" customHeight="1" x14ac:dyDescent="0.25">
      <c r="A165" s="5">
        <v>163</v>
      </c>
      <c r="B165" s="5">
        <v>454</v>
      </c>
      <c r="C165" s="6" t="s">
        <v>405</v>
      </c>
      <c r="D165" s="5">
        <v>136</v>
      </c>
      <c r="E165" s="7">
        <v>2.23</v>
      </c>
      <c r="F165" s="7">
        <f t="shared" si="56"/>
        <v>303.27999999999997</v>
      </c>
      <c r="G165" s="8">
        <f t="shared" si="65"/>
        <v>303.27999999999997</v>
      </c>
      <c r="H165" s="4">
        <f t="shared" si="57"/>
        <v>386.68199999999996</v>
      </c>
      <c r="I165" s="4">
        <f t="shared" si="58"/>
        <v>429.64666666666665</v>
      </c>
      <c r="J165" s="17">
        <v>2960</v>
      </c>
      <c r="K165" s="7">
        <f t="shared" si="66"/>
        <v>35.699999999999996</v>
      </c>
      <c r="L165" s="7">
        <f t="shared" si="67"/>
        <v>28</v>
      </c>
      <c r="M165" s="7">
        <f t="shared" si="68"/>
        <v>25.2</v>
      </c>
      <c r="N165" s="7">
        <f t="shared" si="59"/>
        <v>82.913165266106446</v>
      </c>
      <c r="O165" s="7">
        <f t="shared" si="60"/>
        <v>105.71428571428571</v>
      </c>
      <c r="P165" s="4">
        <f t="shared" si="61"/>
        <v>117.46031746031747</v>
      </c>
      <c r="Q165" s="4">
        <f t="shared" si="62"/>
        <v>386.1931652661064</v>
      </c>
      <c r="R165" s="4">
        <f t="shared" si="63"/>
        <v>492.39628571428568</v>
      </c>
      <c r="S165" s="4">
        <f t="shared" si="64"/>
        <v>547.10698412698412</v>
      </c>
    </row>
    <row r="166" spans="1:19" ht="33" hidden="1" customHeight="1" x14ac:dyDescent="0.25">
      <c r="A166" s="5">
        <v>164</v>
      </c>
      <c r="B166" s="5">
        <v>455</v>
      </c>
      <c r="C166" s="6" t="s">
        <v>406</v>
      </c>
      <c r="D166" s="5">
        <v>208</v>
      </c>
      <c r="E166" s="7">
        <v>2.23</v>
      </c>
      <c r="F166" s="7">
        <f t="shared" si="56"/>
        <v>463.84</v>
      </c>
      <c r="G166" s="8">
        <f t="shared" si="65"/>
        <v>463.84</v>
      </c>
      <c r="H166" s="4">
        <f t="shared" si="57"/>
        <v>591.39599999999996</v>
      </c>
      <c r="I166" s="4">
        <f t="shared" si="58"/>
        <v>657.10666666666668</v>
      </c>
      <c r="J166" s="17">
        <v>2960</v>
      </c>
      <c r="K166" s="7">
        <f t="shared" si="66"/>
        <v>35.699999999999996</v>
      </c>
      <c r="L166" s="7">
        <f t="shared" si="67"/>
        <v>28</v>
      </c>
      <c r="M166" s="7">
        <f t="shared" si="68"/>
        <v>25.2</v>
      </c>
      <c r="N166" s="7">
        <f t="shared" si="59"/>
        <v>82.913165266106446</v>
      </c>
      <c r="O166" s="7">
        <f t="shared" si="60"/>
        <v>105.71428571428571</v>
      </c>
      <c r="P166" s="4">
        <f t="shared" si="61"/>
        <v>117.46031746031747</v>
      </c>
      <c r="Q166" s="4">
        <f t="shared" si="62"/>
        <v>546.75316526610641</v>
      </c>
      <c r="R166" s="4">
        <f t="shared" si="63"/>
        <v>697.11028571428562</v>
      </c>
      <c r="S166" s="4">
        <f t="shared" si="64"/>
        <v>774.56698412698415</v>
      </c>
    </row>
    <row r="167" spans="1:19" ht="33" customHeight="1" x14ac:dyDescent="0.25">
      <c r="A167" s="5">
        <v>165</v>
      </c>
      <c r="B167" s="2" t="s">
        <v>6</v>
      </c>
      <c r="C167" s="16" t="s">
        <v>44</v>
      </c>
      <c r="D167" s="1">
        <v>140</v>
      </c>
      <c r="E167" s="7">
        <v>2.23</v>
      </c>
      <c r="F167" s="7">
        <f t="shared" ref="F167:F179" si="69">D167*E167</f>
        <v>312.2</v>
      </c>
      <c r="G167" s="8">
        <f t="shared" ref="G167:G179" si="70">F167*(51/51)</f>
        <v>312.2</v>
      </c>
      <c r="H167" s="4">
        <f t="shared" ref="H167:H179" si="71">F167*(51/40)</f>
        <v>398.05499999999995</v>
      </c>
      <c r="I167" s="4">
        <f t="shared" ref="I167:I179" si="72">(F167*51)/36</f>
        <v>442.2833333333333</v>
      </c>
      <c r="J167" s="17">
        <v>0</v>
      </c>
      <c r="K167" s="7">
        <f t="shared" si="66"/>
        <v>35.699999999999996</v>
      </c>
      <c r="L167" s="7">
        <f t="shared" si="67"/>
        <v>28</v>
      </c>
      <c r="M167" s="7">
        <f t="shared" si="68"/>
        <v>25.2</v>
      </c>
      <c r="N167" s="7">
        <f t="shared" ref="N167:N179" si="73">J167/K167</f>
        <v>0</v>
      </c>
      <c r="O167" s="7">
        <f t="shared" ref="O167:O179" si="74">J167/L167</f>
        <v>0</v>
      </c>
      <c r="P167" s="4">
        <f t="shared" ref="P167:P179" si="75">J167/M167</f>
        <v>0</v>
      </c>
      <c r="Q167" s="4">
        <f t="shared" ref="Q167:Q179" si="76">F167+N167</f>
        <v>312.2</v>
      </c>
      <c r="R167" s="4">
        <f t="shared" ref="R167:R179" si="77">H167+O167</f>
        <v>398.05499999999995</v>
      </c>
      <c r="S167" s="4">
        <f t="shared" ref="S167:S179" si="78">I167+P167</f>
        <v>442.2833333333333</v>
      </c>
    </row>
    <row r="168" spans="1:19" ht="33" customHeight="1" x14ac:dyDescent="0.25">
      <c r="A168" s="5">
        <v>166</v>
      </c>
      <c r="B168" s="2" t="s">
        <v>11</v>
      </c>
      <c r="C168" s="16" t="s">
        <v>47</v>
      </c>
      <c r="D168" s="1">
        <v>142</v>
      </c>
      <c r="E168" s="7">
        <v>2.23</v>
      </c>
      <c r="F168" s="7">
        <f t="shared" si="69"/>
        <v>316.66000000000003</v>
      </c>
      <c r="G168" s="8">
        <f t="shared" si="70"/>
        <v>316.66000000000003</v>
      </c>
      <c r="H168" s="4">
        <f t="shared" si="71"/>
        <v>403.74150000000003</v>
      </c>
      <c r="I168" s="4">
        <f t="shared" si="72"/>
        <v>448.60166666666669</v>
      </c>
      <c r="J168" s="17">
        <v>2495</v>
      </c>
      <c r="K168" s="7">
        <f t="shared" si="66"/>
        <v>35.699999999999996</v>
      </c>
      <c r="L168" s="7">
        <f t="shared" si="67"/>
        <v>28</v>
      </c>
      <c r="M168" s="7">
        <f t="shared" si="68"/>
        <v>25.2</v>
      </c>
      <c r="N168" s="7">
        <f t="shared" si="73"/>
        <v>69.887955182072844</v>
      </c>
      <c r="O168" s="7">
        <f t="shared" si="74"/>
        <v>89.107142857142861</v>
      </c>
      <c r="P168" s="4">
        <f t="shared" si="75"/>
        <v>99.007936507936506</v>
      </c>
      <c r="Q168" s="4">
        <f t="shared" si="76"/>
        <v>386.54795518207288</v>
      </c>
      <c r="R168" s="4">
        <f t="shared" si="77"/>
        <v>492.84864285714286</v>
      </c>
      <c r="S168" s="4">
        <f t="shared" si="78"/>
        <v>547.60960317460319</v>
      </c>
    </row>
    <row r="169" spans="1:19" ht="33" customHeight="1" x14ac:dyDescent="0.25">
      <c r="A169" s="5">
        <v>167</v>
      </c>
      <c r="B169" s="2" t="s">
        <v>13</v>
      </c>
      <c r="C169" s="16" t="s">
        <v>49</v>
      </c>
      <c r="D169" s="1">
        <v>73</v>
      </c>
      <c r="E169" s="7">
        <v>2.23</v>
      </c>
      <c r="F169" s="7">
        <f t="shared" si="69"/>
        <v>162.79</v>
      </c>
      <c r="G169" s="8">
        <f t="shared" si="70"/>
        <v>162.79</v>
      </c>
      <c r="H169" s="4">
        <f t="shared" si="71"/>
        <v>207.55724999999998</v>
      </c>
      <c r="I169" s="4">
        <f t="shared" si="72"/>
        <v>230.61916666666664</v>
      </c>
      <c r="J169" s="17">
        <v>2495</v>
      </c>
      <c r="K169" s="7">
        <f t="shared" si="66"/>
        <v>35.699999999999996</v>
      </c>
      <c r="L169" s="7">
        <f t="shared" si="67"/>
        <v>28</v>
      </c>
      <c r="M169" s="7">
        <f t="shared" si="68"/>
        <v>25.2</v>
      </c>
      <c r="N169" s="7">
        <f t="shared" si="73"/>
        <v>69.887955182072844</v>
      </c>
      <c r="O169" s="7">
        <f t="shared" si="74"/>
        <v>89.107142857142861</v>
      </c>
      <c r="P169" s="4">
        <f t="shared" si="75"/>
        <v>99.007936507936506</v>
      </c>
      <c r="Q169" s="4">
        <f t="shared" si="76"/>
        <v>232.67795518207282</v>
      </c>
      <c r="R169" s="4">
        <f t="shared" si="77"/>
        <v>296.66439285714284</v>
      </c>
      <c r="S169" s="4">
        <f t="shared" si="78"/>
        <v>329.62710317460312</v>
      </c>
    </row>
    <row r="170" spans="1:19" ht="33" customHeight="1" x14ac:dyDescent="0.25">
      <c r="A170" s="5">
        <v>168</v>
      </c>
      <c r="B170" s="2" t="s">
        <v>22</v>
      </c>
      <c r="C170" s="16" t="s">
        <v>407</v>
      </c>
      <c r="D170" s="1">
        <v>60</v>
      </c>
      <c r="E170" s="7">
        <v>2.23</v>
      </c>
      <c r="F170" s="7">
        <f t="shared" si="69"/>
        <v>133.80000000000001</v>
      </c>
      <c r="G170" s="8">
        <f t="shared" si="70"/>
        <v>133.80000000000001</v>
      </c>
      <c r="H170" s="4">
        <f t="shared" si="71"/>
        <v>170.595</v>
      </c>
      <c r="I170" s="4">
        <f t="shared" si="72"/>
        <v>189.55</v>
      </c>
      <c r="J170" s="17">
        <v>0</v>
      </c>
      <c r="K170" s="7">
        <f t="shared" si="66"/>
        <v>35.699999999999996</v>
      </c>
      <c r="L170" s="7">
        <f t="shared" si="67"/>
        <v>28</v>
      </c>
      <c r="M170" s="7">
        <f t="shared" si="68"/>
        <v>25.2</v>
      </c>
      <c r="N170" s="7">
        <f t="shared" si="73"/>
        <v>0</v>
      </c>
      <c r="O170" s="7">
        <f t="shared" si="74"/>
        <v>0</v>
      </c>
      <c r="P170" s="4">
        <f t="shared" si="75"/>
        <v>0</v>
      </c>
      <c r="Q170" s="4">
        <f t="shared" si="76"/>
        <v>133.80000000000001</v>
      </c>
      <c r="R170" s="4">
        <f t="shared" si="77"/>
        <v>170.595</v>
      </c>
      <c r="S170" s="4">
        <f t="shared" si="78"/>
        <v>189.55</v>
      </c>
    </row>
    <row r="171" spans="1:19" ht="33" customHeight="1" x14ac:dyDescent="0.25">
      <c r="A171" s="5">
        <v>169</v>
      </c>
      <c r="B171" s="2" t="s">
        <v>24</v>
      </c>
      <c r="C171" s="16" t="s">
        <v>54</v>
      </c>
      <c r="D171" s="1">
        <v>103</v>
      </c>
      <c r="E171" s="7">
        <v>2.23</v>
      </c>
      <c r="F171" s="7">
        <f t="shared" si="69"/>
        <v>229.69</v>
      </c>
      <c r="G171" s="8">
        <f t="shared" si="70"/>
        <v>229.69</v>
      </c>
      <c r="H171" s="4">
        <f t="shared" si="71"/>
        <v>292.85474999999997</v>
      </c>
      <c r="I171" s="4">
        <f t="shared" si="72"/>
        <v>325.39416666666671</v>
      </c>
      <c r="J171" s="17">
        <v>2495</v>
      </c>
      <c r="K171" s="7">
        <f t="shared" si="66"/>
        <v>35.699999999999996</v>
      </c>
      <c r="L171" s="7">
        <f t="shared" si="67"/>
        <v>28</v>
      </c>
      <c r="M171" s="7">
        <f t="shared" si="68"/>
        <v>25.2</v>
      </c>
      <c r="N171" s="7">
        <f t="shared" si="73"/>
        <v>69.887955182072844</v>
      </c>
      <c r="O171" s="7">
        <f t="shared" si="74"/>
        <v>89.107142857142861</v>
      </c>
      <c r="P171" s="4">
        <f t="shared" si="75"/>
        <v>99.007936507936506</v>
      </c>
      <c r="Q171" s="4">
        <f t="shared" si="76"/>
        <v>299.57795518207286</v>
      </c>
      <c r="R171" s="4">
        <f t="shared" si="77"/>
        <v>381.96189285714286</v>
      </c>
      <c r="S171" s="4">
        <f t="shared" si="78"/>
        <v>424.40210317460321</v>
      </c>
    </row>
    <row r="172" spans="1:19" ht="33" customHeight="1" x14ac:dyDescent="0.25">
      <c r="A172" s="5">
        <v>170</v>
      </c>
      <c r="B172" s="2" t="s">
        <v>29</v>
      </c>
      <c r="C172" s="16" t="s">
        <v>59</v>
      </c>
      <c r="D172" s="1">
        <v>160</v>
      </c>
      <c r="E172" s="7">
        <v>2.23</v>
      </c>
      <c r="F172" s="7">
        <f t="shared" si="69"/>
        <v>356.8</v>
      </c>
      <c r="G172" s="8">
        <f t="shared" si="70"/>
        <v>356.8</v>
      </c>
      <c r="H172" s="4">
        <f t="shared" si="71"/>
        <v>454.91999999999996</v>
      </c>
      <c r="I172" s="4">
        <f t="shared" si="72"/>
        <v>505.46666666666664</v>
      </c>
      <c r="J172" s="17">
        <v>0</v>
      </c>
      <c r="K172" s="7">
        <f t="shared" si="66"/>
        <v>35.699999999999996</v>
      </c>
      <c r="L172" s="7">
        <f t="shared" si="67"/>
        <v>28</v>
      </c>
      <c r="M172" s="7">
        <f t="shared" si="68"/>
        <v>25.2</v>
      </c>
      <c r="N172" s="7">
        <f t="shared" si="73"/>
        <v>0</v>
      </c>
      <c r="O172" s="7">
        <f t="shared" si="74"/>
        <v>0</v>
      </c>
      <c r="P172" s="4">
        <f t="shared" si="75"/>
        <v>0</v>
      </c>
      <c r="Q172" s="4">
        <f t="shared" si="76"/>
        <v>356.8</v>
      </c>
      <c r="R172" s="4">
        <f t="shared" si="77"/>
        <v>454.91999999999996</v>
      </c>
      <c r="S172" s="4">
        <f t="shared" si="78"/>
        <v>505.46666666666664</v>
      </c>
    </row>
    <row r="173" spans="1:19" ht="33" customHeight="1" x14ac:dyDescent="0.25">
      <c r="A173" s="5">
        <v>171</v>
      </c>
      <c r="B173" s="2" t="s">
        <v>30</v>
      </c>
      <c r="C173" s="16" t="s">
        <v>60</v>
      </c>
      <c r="D173" s="1">
        <v>27</v>
      </c>
      <c r="E173" s="7">
        <v>2.23</v>
      </c>
      <c r="F173" s="7">
        <f t="shared" si="69"/>
        <v>60.21</v>
      </c>
      <c r="G173" s="8">
        <f t="shared" si="70"/>
        <v>60.21</v>
      </c>
      <c r="H173" s="4">
        <f t="shared" si="71"/>
        <v>76.767749999999992</v>
      </c>
      <c r="I173" s="4">
        <f t="shared" si="72"/>
        <v>85.297499999999999</v>
      </c>
      <c r="J173" s="17">
        <v>200</v>
      </c>
      <c r="K173" s="7">
        <f t="shared" si="66"/>
        <v>35.699999999999996</v>
      </c>
      <c r="L173" s="7">
        <f t="shared" si="67"/>
        <v>28</v>
      </c>
      <c r="M173" s="7">
        <f t="shared" si="68"/>
        <v>25.2</v>
      </c>
      <c r="N173" s="7">
        <f t="shared" si="73"/>
        <v>5.6022408963585439</v>
      </c>
      <c r="O173" s="7">
        <f t="shared" si="74"/>
        <v>7.1428571428571432</v>
      </c>
      <c r="P173" s="4">
        <f t="shared" si="75"/>
        <v>7.9365079365079367</v>
      </c>
      <c r="Q173" s="4">
        <f t="shared" si="76"/>
        <v>65.812240896358546</v>
      </c>
      <c r="R173" s="4">
        <f t="shared" si="77"/>
        <v>83.910607142857131</v>
      </c>
      <c r="S173" s="4">
        <f t="shared" si="78"/>
        <v>93.234007936507936</v>
      </c>
    </row>
    <row r="174" spans="1:19" ht="33" customHeight="1" x14ac:dyDescent="0.25">
      <c r="A174" s="5">
        <v>172</v>
      </c>
      <c r="B174" s="2" t="s">
        <v>31</v>
      </c>
      <c r="C174" s="16" t="s">
        <v>61</v>
      </c>
      <c r="D174" s="1">
        <v>73</v>
      </c>
      <c r="E174" s="7">
        <v>2.23</v>
      </c>
      <c r="F174" s="7">
        <f t="shared" si="69"/>
        <v>162.79</v>
      </c>
      <c r="G174" s="8">
        <f t="shared" si="70"/>
        <v>162.79</v>
      </c>
      <c r="H174" s="4">
        <f t="shared" si="71"/>
        <v>207.55724999999998</v>
      </c>
      <c r="I174" s="4">
        <f t="shared" si="72"/>
        <v>230.61916666666664</v>
      </c>
      <c r="J174" s="17">
        <v>2495</v>
      </c>
      <c r="K174" s="7">
        <f t="shared" si="66"/>
        <v>35.699999999999996</v>
      </c>
      <c r="L174" s="7">
        <f t="shared" si="67"/>
        <v>28</v>
      </c>
      <c r="M174" s="7">
        <f t="shared" si="68"/>
        <v>25.2</v>
      </c>
      <c r="N174" s="7">
        <f t="shared" si="73"/>
        <v>69.887955182072844</v>
      </c>
      <c r="O174" s="7">
        <f t="shared" si="74"/>
        <v>89.107142857142861</v>
      </c>
      <c r="P174" s="4">
        <f t="shared" si="75"/>
        <v>99.007936507936506</v>
      </c>
      <c r="Q174" s="4">
        <f t="shared" si="76"/>
        <v>232.67795518207282</v>
      </c>
      <c r="R174" s="4">
        <f t="shared" si="77"/>
        <v>296.66439285714284</v>
      </c>
      <c r="S174" s="4">
        <f t="shared" si="78"/>
        <v>329.62710317460312</v>
      </c>
    </row>
    <row r="175" spans="1:19" ht="33" customHeight="1" x14ac:dyDescent="0.25">
      <c r="A175" s="5">
        <v>173</v>
      </c>
      <c r="B175" s="2" t="s">
        <v>32</v>
      </c>
      <c r="C175" s="16" t="s">
        <v>62</v>
      </c>
      <c r="D175" s="1">
        <v>84</v>
      </c>
      <c r="E175" s="7">
        <v>2.23</v>
      </c>
      <c r="F175" s="7">
        <f t="shared" si="69"/>
        <v>187.32</v>
      </c>
      <c r="G175" s="8">
        <f t="shared" si="70"/>
        <v>187.32</v>
      </c>
      <c r="H175" s="4">
        <f t="shared" si="71"/>
        <v>238.83299999999997</v>
      </c>
      <c r="I175" s="4">
        <f t="shared" si="72"/>
        <v>265.37</v>
      </c>
      <c r="J175" s="17">
        <v>0</v>
      </c>
      <c r="K175" s="7">
        <f t="shared" si="66"/>
        <v>35.699999999999996</v>
      </c>
      <c r="L175" s="7">
        <f t="shared" si="67"/>
        <v>28</v>
      </c>
      <c r="M175" s="7">
        <f t="shared" si="68"/>
        <v>25.2</v>
      </c>
      <c r="N175" s="7">
        <f t="shared" si="73"/>
        <v>0</v>
      </c>
      <c r="O175" s="7">
        <f t="shared" si="74"/>
        <v>0</v>
      </c>
      <c r="P175" s="4">
        <f t="shared" si="75"/>
        <v>0</v>
      </c>
      <c r="Q175" s="4">
        <f t="shared" si="76"/>
        <v>187.32</v>
      </c>
      <c r="R175" s="4">
        <f t="shared" si="77"/>
        <v>238.83299999999997</v>
      </c>
      <c r="S175" s="4">
        <f t="shared" si="78"/>
        <v>265.37</v>
      </c>
    </row>
    <row r="176" spans="1:19" ht="33" customHeight="1" x14ac:dyDescent="0.25">
      <c r="A176" s="5">
        <v>174</v>
      </c>
      <c r="B176" s="2" t="s">
        <v>33</v>
      </c>
      <c r="C176" s="16" t="s">
        <v>63</v>
      </c>
      <c r="D176" s="1">
        <v>41</v>
      </c>
      <c r="E176" s="7">
        <v>2.23</v>
      </c>
      <c r="F176" s="7">
        <f t="shared" si="69"/>
        <v>91.429999999999993</v>
      </c>
      <c r="G176" s="8">
        <f t="shared" si="70"/>
        <v>91.429999999999993</v>
      </c>
      <c r="H176" s="4">
        <f t="shared" si="71"/>
        <v>116.57324999999999</v>
      </c>
      <c r="I176" s="4">
        <f t="shared" si="72"/>
        <v>129.52583333333331</v>
      </c>
      <c r="J176" s="17">
        <v>200</v>
      </c>
      <c r="K176" s="7">
        <f t="shared" si="66"/>
        <v>35.699999999999996</v>
      </c>
      <c r="L176" s="7">
        <f t="shared" si="67"/>
        <v>28</v>
      </c>
      <c r="M176" s="7">
        <f t="shared" si="68"/>
        <v>25.2</v>
      </c>
      <c r="N176" s="7">
        <f t="shared" si="73"/>
        <v>5.6022408963585439</v>
      </c>
      <c r="O176" s="7">
        <f t="shared" si="74"/>
        <v>7.1428571428571432</v>
      </c>
      <c r="P176" s="4">
        <f t="shared" si="75"/>
        <v>7.9365079365079367</v>
      </c>
      <c r="Q176" s="4">
        <f t="shared" si="76"/>
        <v>97.03224089635853</v>
      </c>
      <c r="R176" s="4">
        <f t="shared" si="77"/>
        <v>123.71610714285713</v>
      </c>
      <c r="S176" s="4">
        <f t="shared" si="78"/>
        <v>137.46234126984126</v>
      </c>
    </row>
    <row r="177" spans="1:19" ht="33" customHeight="1" x14ac:dyDescent="0.25">
      <c r="A177" s="5">
        <v>175</v>
      </c>
      <c r="B177" s="2" t="s">
        <v>34</v>
      </c>
      <c r="C177" s="16" t="s">
        <v>408</v>
      </c>
      <c r="D177" s="1">
        <v>25</v>
      </c>
      <c r="E177" s="7">
        <v>2.23</v>
      </c>
      <c r="F177" s="7">
        <f t="shared" si="69"/>
        <v>55.75</v>
      </c>
      <c r="G177" s="8">
        <f t="shared" si="70"/>
        <v>55.75</v>
      </c>
      <c r="H177" s="4">
        <f t="shared" si="71"/>
        <v>71.081249999999997</v>
      </c>
      <c r="I177" s="4">
        <f t="shared" si="72"/>
        <v>78.979166666666671</v>
      </c>
      <c r="J177" s="17">
        <v>200</v>
      </c>
      <c r="K177" s="7">
        <f t="shared" si="66"/>
        <v>35.699999999999996</v>
      </c>
      <c r="L177" s="7">
        <f t="shared" si="67"/>
        <v>28</v>
      </c>
      <c r="M177" s="7">
        <f t="shared" si="68"/>
        <v>25.2</v>
      </c>
      <c r="N177" s="7">
        <f t="shared" si="73"/>
        <v>5.6022408963585439</v>
      </c>
      <c r="O177" s="7">
        <f t="shared" si="74"/>
        <v>7.1428571428571432</v>
      </c>
      <c r="P177" s="4">
        <f t="shared" si="75"/>
        <v>7.9365079365079367</v>
      </c>
      <c r="Q177" s="4">
        <f t="shared" si="76"/>
        <v>61.352240896358545</v>
      </c>
      <c r="R177" s="4">
        <f t="shared" si="77"/>
        <v>78.224107142857136</v>
      </c>
      <c r="S177" s="4">
        <f t="shared" si="78"/>
        <v>86.915674603174608</v>
      </c>
    </row>
    <row r="178" spans="1:19" ht="33" customHeight="1" x14ac:dyDescent="0.25">
      <c r="A178" s="5">
        <v>176</v>
      </c>
      <c r="B178" s="2" t="s">
        <v>16</v>
      </c>
      <c r="C178" s="16" t="s">
        <v>52</v>
      </c>
      <c r="D178" s="1">
        <v>81</v>
      </c>
      <c r="E178" s="7">
        <v>2.23</v>
      </c>
      <c r="F178" s="7">
        <f t="shared" si="69"/>
        <v>180.63</v>
      </c>
      <c r="G178" s="8">
        <f t="shared" si="70"/>
        <v>180.63</v>
      </c>
      <c r="H178" s="4">
        <f t="shared" si="71"/>
        <v>230.30324999999999</v>
      </c>
      <c r="I178" s="4">
        <f t="shared" si="72"/>
        <v>255.89249999999998</v>
      </c>
      <c r="J178" s="17">
        <v>0</v>
      </c>
      <c r="K178" s="7">
        <f t="shared" si="66"/>
        <v>35.699999999999996</v>
      </c>
      <c r="L178" s="7">
        <f t="shared" si="67"/>
        <v>28</v>
      </c>
      <c r="M178" s="7">
        <f t="shared" si="68"/>
        <v>25.2</v>
      </c>
      <c r="N178" s="7">
        <f t="shared" si="73"/>
        <v>0</v>
      </c>
      <c r="O178" s="7">
        <f t="shared" si="74"/>
        <v>0</v>
      </c>
      <c r="P178" s="4">
        <f t="shared" si="75"/>
        <v>0</v>
      </c>
      <c r="Q178" s="4">
        <f t="shared" si="76"/>
        <v>180.63</v>
      </c>
      <c r="R178" s="4">
        <f t="shared" si="77"/>
        <v>230.30324999999999</v>
      </c>
      <c r="S178" s="4">
        <f t="shared" si="78"/>
        <v>255.89249999999998</v>
      </c>
    </row>
    <row r="179" spans="1:19" ht="33" customHeight="1" x14ac:dyDescent="0.25">
      <c r="A179" s="5">
        <v>177</v>
      </c>
      <c r="B179" s="2" t="s">
        <v>17</v>
      </c>
      <c r="C179" s="16" t="s">
        <v>70</v>
      </c>
      <c r="D179" s="1">
        <v>113</v>
      </c>
      <c r="E179" s="7">
        <v>2.23</v>
      </c>
      <c r="F179" s="7">
        <f t="shared" si="69"/>
        <v>251.99</v>
      </c>
      <c r="G179" s="8">
        <f t="shared" si="70"/>
        <v>251.99</v>
      </c>
      <c r="H179" s="4">
        <f t="shared" si="71"/>
        <v>321.28724999999997</v>
      </c>
      <c r="I179" s="4">
        <f t="shared" si="72"/>
        <v>356.98583333333335</v>
      </c>
      <c r="J179" s="17">
        <v>2495</v>
      </c>
      <c r="K179" s="7">
        <f t="shared" si="66"/>
        <v>35.699999999999996</v>
      </c>
      <c r="L179" s="7">
        <f t="shared" si="67"/>
        <v>28</v>
      </c>
      <c r="M179" s="7">
        <f t="shared" si="68"/>
        <v>25.2</v>
      </c>
      <c r="N179" s="7">
        <f t="shared" si="73"/>
        <v>69.887955182072844</v>
      </c>
      <c r="O179" s="7">
        <f t="shared" si="74"/>
        <v>89.107142857142861</v>
      </c>
      <c r="P179" s="4">
        <f t="shared" si="75"/>
        <v>99.007936507936506</v>
      </c>
      <c r="Q179" s="4">
        <f t="shared" si="76"/>
        <v>321.87795518207287</v>
      </c>
      <c r="R179" s="4">
        <f t="shared" si="77"/>
        <v>410.39439285714286</v>
      </c>
      <c r="S179" s="4">
        <f t="shared" si="78"/>
        <v>455.99376984126985</v>
      </c>
    </row>
    <row r="180" spans="1:19" ht="33" hidden="1" customHeight="1" x14ac:dyDescent="0.25">
      <c r="A180" s="5">
        <v>178</v>
      </c>
      <c r="B180" s="5">
        <v>65</v>
      </c>
      <c r="C180" s="6" t="s">
        <v>74</v>
      </c>
      <c r="D180" s="5">
        <v>242</v>
      </c>
      <c r="E180" s="7">
        <v>2.23</v>
      </c>
      <c r="F180" s="7">
        <f t="shared" si="56"/>
        <v>539.66</v>
      </c>
      <c r="G180" s="8">
        <f t="shared" si="65"/>
        <v>539.66</v>
      </c>
      <c r="H180" s="4">
        <f t="shared" si="57"/>
        <v>688.06649999999991</v>
      </c>
      <c r="I180" s="4">
        <f>(F180*51)/36</f>
        <v>764.51833333333332</v>
      </c>
      <c r="J180" s="17">
        <v>2720</v>
      </c>
      <c r="K180" s="7">
        <f t="shared" si="66"/>
        <v>35.699999999999996</v>
      </c>
      <c r="L180" s="7">
        <f t="shared" si="67"/>
        <v>28</v>
      </c>
      <c r="M180" s="7">
        <f t="shared" si="68"/>
        <v>25.2</v>
      </c>
      <c r="N180" s="7">
        <f t="shared" si="59"/>
        <v>76.190476190476204</v>
      </c>
      <c r="O180" s="7">
        <f t="shared" si="60"/>
        <v>97.142857142857139</v>
      </c>
      <c r="P180" s="4">
        <f t="shared" si="61"/>
        <v>107.93650793650794</v>
      </c>
      <c r="Q180" s="4">
        <f t="shared" si="62"/>
        <v>615.85047619047623</v>
      </c>
      <c r="R180" s="4">
        <f t="shared" si="63"/>
        <v>785.20935714285702</v>
      </c>
      <c r="S180" s="4">
        <f t="shared" si="64"/>
        <v>872.45484126984127</v>
      </c>
    </row>
    <row r="181" spans="1:19" ht="33" hidden="1" customHeight="1" x14ac:dyDescent="0.25">
      <c r="A181" s="5">
        <v>179</v>
      </c>
      <c r="B181" s="5">
        <v>66</v>
      </c>
      <c r="C181" s="6" t="s">
        <v>75</v>
      </c>
      <c r="D181" s="5">
        <v>278</v>
      </c>
      <c r="E181" s="7">
        <v>2.23</v>
      </c>
      <c r="F181" s="7">
        <f t="shared" si="56"/>
        <v>619.93999999999994</v>
      </c>
      <c r="G181" s="8">
        <f t="shared" si="65"/>
        <v>619.93999999999994</v>
      </c>
      <c r="H181" s="4">
        <f t="shared" si="57"/>
        <v>790.42349999999988</v>
      </c>
      <c r="I181" s="4">
        <f t="shared" ref="I181:I239" si="79">F181*(51/36)</f>
        <v>878.24833333333333</v>
      </c>
      <c r="J181" s="17">
        <v>3380</v>
      </c>
      <c r="K181" s="7">
        <f t="shared" si="66"/>
        <v>35.699999999999996</v>
      </c>
      <c r="L181" s="7">
        <f t="shared" si="67"/>
        <v>28</v>
      </c>
      <c r="M181" s="7">
        <f t="shared" si="68"/>
        <v>25.2</v>
      </c>
      <c r="N181" s="7">
        <f t="shared" si="59"/>
        <v>94.677871148459388</v>
      </c>
      <c r="O181" s="7">
        <f t="shared" si="60"/>
        <v>120.71428571428571</v>
      </c>
      <c r="P181" s="4">
        <f t="shared" si="61"/>
        <v>134.12698412698413</v>
      </c>
      <c r="Q181" s="4">
        <f t="shared" si="62"/>
        <v>714.61787114845936</v>
      </c>
      <c r="R181" s="4">
        <f t="shared" si="63"/>
        <v>911.13778571428554</v>
      </c>
      <c r="S181" s="4">
        <f t="shared" si="64"/>
        <v>1012.3753174603174</v>
      </c>
    </row>
    <row r="182" spans="1:19" ht="33" hidden="1" customHeight="1" x14ac:dyDescent="0.25">
      <c r="A182" s="5">
        <v>180</v>
      </c>
      <c r="B182" s="5">
        <v>211</v>
      </c>
      <c r="C182" s="6" t="s">
        <v>198</v>
      </c>
      <c r="D182" s="5">
        <v>258</v>
      </c>
      <c r="E182" s="7">
        <v>2.23</v>
      </c>
      <c r="F182" s="7">
        <f t="shared" si="56"/>
        <v>575.34</v>
      </c>
      <c r="G182" s="8">
        <f t="shared" si="65"/>
        <v>575.34</v>
      </c>
      <c r="H182" s="4">
        <f t="shared" si="57"/>
        <v>733.55849999999998</v>
      </c>
      <c r="I182" s="4">
        <f t="shared" si="79"/>
        <v>815.06500000000005</v>
      </c>
      <c r="J182" s="17">
        <v>2720</v>
      </c>
      <c r="K182" s="7">
        <f t="shared" si="66"/>
        <v>35.699999999999996</v>
      </c>
      <c r="L182" s="7">
        <f t="shared" si="67"/>
        <v>28</v>
      </c>
      <c r="M182" s="7">
        <f t="shared" si="68"/>
        <v>25.2</v>
      </c>
      <c r="N182" s="7">
        <f t="shared" si="59"/>
        <v>76.190476190476204</v>
      </c>
      <c r="O182" s="7">
        <f t="shared" si="60"/>
        <v>97.142857142857139</v>
      </c>
      <c r="P182" s="4">
        <f t="shared" si="61"/>
        <v>107.93650793650794</v>
      </c>
      <c r="Q182" s="4">
        <f t="shared" si="62"/>
        <v>651.53047619047629</v>
      </c>
      <c r="R182" s="4">
        <f t="shared" si="63"/>
        <v>830.70135714285709</v>
      </c>
      <c r="S182" s="4">
        <f t="shared" si="64"/>
        <v>923.00150793650801</v>
      </c>
    </row>
    <row r="183" spans="1:19" ht="33" hidden="1" customHeight="1" x14ac:dyDescent="0.25">
      <c r="A183" s="5">
        <v>181</v>
      </c>
      <c r="B183" s="5">
        <v>212</v>
      </c>
      <c r="C183" s="6" t="s">
        <v>199</v>
      </c>
      <c r="D183" s="5">
        <v>284</v>
      </c>
      <c r="E183" s="7">
        <v>2.23</v>
      </c>
      <c r="F183" s="7">
        <f t="shared" si="56"/>
        <v>633.32000000000005</v>
      </c>
      <c r="G183" s="8">
        <f t="shared" si="65"/>
        <v>633.32000000000005</v>
      </c>
      <c r="H183" s="4">
        <f t="shared" si="57"/>
        <v>807.48300000000006</v>
      </c>
      <c r="I183" s="4">
        <f t="shared" si="79"/>
        <v>897.20333333333349</v>
      </c>
      <c r="J183" s="17">
        <v>2915</v>
      </c>
      <c r="K183" s="7">
        <f t="shared" si="66"/>
        <v>35.699999999999996</v>
      </c>
      <c r="L183" s="7">
        <f t="shared" si="67"/>
        <v>28</v>
      </c>
      <c r="M183" s="7">
        <f t="shared" si="68"/>
        <v>25.2</v>
      </c>
      <c r="N183" s="7">
        <f t="shared" si="59"/>
        <v>81.652661064425786</v>
      </c>
      <c r="O183" s="7">
        <f t="shared" si="60"/>
        <v>104.10714285714286</v>
      </c>
      <c r="P183" s="4">
        <f t="shared" si="61"/>
        <v>115.67460317460318</v>
      </c>
      <c r="Q183" s="4">
        <f t="shared" si="62"/>
        <v>714.97266106442589</v>
      </c>
      <c r="R183" s="4">
        <f t="shared" si="63"/>
        <v>911.59014285714295</v>
      </c>
      <c r="S183" s="4">
        <f t="shared" si="64"/>
        <v>1012.8779365079366</v>
      </c>
    </row>
    <row r="184" spans="1:19" ht="33" hidden="1" customHeight="1" x14ac:dyDescent="0.25">
      <c r="A184" s="5">
        <v>182</v>
      </c>
      <c r="B184" s="5">
        <v>217</v>
      </c>
      <c r="C184" s="6" t="s">
        <v>200</v>
      </c>
      <c r="D184" s="5">
        <v>304</v>
      </c>
      <c r="E184" s="7">
        <v>2.23</v>
      </c>
      <c r="F184" s="7">
        <f t="shared" si="56"/>
        <v>677.92</v>
      </c>
      <c r="G184" s="8">
        <f t="shared" si="65"/>
        <v>677.92</v>
      </c>
      <c r="H184" s="4">
        <f t="shared" si="57"/>
        <v>864.34799999999984</v>
      </c>
      <c r="I184" s="4">
        <f t="shared" si="79"/>
        <v>960.38666666666666</v>
      </c>
      <c r="J184" s="17">
        <v>3680</v>
      </c>
      <c r="K184" s="7">
        <f t="shared" si="66"/>
        <v>35.699999999999996</v>
      </c>
      <c r="L184" s="7">
        <f t="shared" si="67"/>
        <v>28</v>
      </c>
      <c r="M184" s="7">
        <f t="shared" si="68"/>
        <v>25.2</v>
      </c>
      <c r="N184" s="7">
        <f t="shared" si="59"/>
        <v>103.08123249299722</v>
      </c>
      <c r="O184" s="7">
        <f t="shared" si="60"/>
        <v>131.42857142857142</v>
      </c>
      <c r="P184" s="4">
        <f t="shared" si="61"/>
        <v>146.03174603174602</v>
      </c>
      <c r="Q184" s="4">
        <f t="shared" si="62"/>
        <v>781.00123249299713</v>
      </c>
      <c r="R184" s="4">
        <f t="shared" si="63"/>
        <v>995.77657142857129</v>
      </c>
      <c r="S184" s="4">
        <f t="shared" si="64"/>
        <v>1106.4184126984128</v>
      </c>
    </row>
    <row r="185" spans="1:19" ht="33" hidden="1" customHeight="1" x14ac:dyDescent="0.25">
      <c r="A185" s="5">
        <v>183</v>
      </c>
      <c r="B185" s="5">
        <v>70</v>
      </c>
      <c r="C185" s="6" t="s">
        <v>201</v>
      </c>
      <c r="D185" s="5">
        <v>232</v>
      </c>
      <c r="E185" s="7">
        <v>2.23</v>
      </c>
      <c r="F185" s="7">
        <f t="shared" si="56"/>
        <v>517.36</v>
      </c>
      <c r="G185" s="8">
        <f t="shared" si="65"/>
        <v>517.36</v>
      </c>
      <c r="H185" s="4">
        <f t="shared" si="57"/>
        <v>659.63400000000001</v>
      </c>
      <c r="I185" s="4">
        <f t="shared" si="79"/>
        <v>732.92666666666673</v>
      </c>
      <c r="J185" s="18">
        <v>2610</v>
      </c>
      <c r="K185" s="7">
        <f t="shared" si="66"/>
        <v>35.699999999999996</v>
      </c>
      <c r="L185" s="7">
        <f t="shared" si="67"/>
        <v>28</v>
      </c>
      <c r="M185" s="7">
        <f t="shared" si="68"/>
        <v>25.2</v>
      </c>
      <c r="N185" s="7">
        <f t="shared" si="59"/>
        <v>73.109243697479002</v>
      </c>
      <c r="O185" s="7">
        <f t="shared" si="60"/>
        <v>93.214285714285708</v>
      </c>
      <c r="P185" s="4">
        <f t="shared" si="61"/>
        <v>103.57142857142857</v>
      </c>
      <c r="Q185" s="4">
        <f t="shared" si="62"/>
        <v>590.46924369747899</v>
      </c>
      <c r="R185" s="4">
        <f t="shared" si="63"/>
        <v>752.84828571428568</v>
      </c>
      <c r="S185" s="4">
        <f t="shared" si="64"/>
        <v>836.49809523809529</v>
      </c>
    </row>
    <row r="186" spans="1:19" ht="33" hidden="1" customHeight="1" x14ac:dyDescent="0.25">
      <c r="A186" s="5">
        <v>184</v>
      </c>
      <c r="B186" s="5">
        <v>201</v>
      </c>
      <c r="C186" s="6" t="s">
        <v>202</v>
      </c>
      <c r="D186" s="5">
        <v>212</v>
      </c>
      <c r="E186" s="7">
        <v>2.23</v>
      </c>
      <c r="F186" s="7">
        <f t="shared" si="56"/>
        <v>472.76</v>
      </c>
      <c r="G186" s="8">
        <f t="shared" si="65"/>
        <v>472.76</v>
      </c>
      <c r="H186" s="4">
        <f t="shared" si="57"/>
        <v>602.76899999999989</v>
      </c>
      <c r="I186" s="4">
        <f t="shared" si="79"/>
        <v>669.74333333333334</v>
      </c>
      <c r="J186" s="18">
        <v>2610</v>
      </c>
      <c r="K186" s="7">
        <f t="shared" si="66"/>
        <v>35.699999999999996</v>
      </c>
      <c r="L186" s="7">
        <f t="shared" si="67"/>
        <v>28</v>
      </c>
      <c r="M186" s="7">
        <f t="shared" si="68"/>
        <v>25.2</v>
      </c>
      <c r="N186" s="7">
        <f t="shared" si="59"/>
        <v>73.109243697479002</v>
      </c>
      <c r="O186" s="7">
        <f t="shared" si="60"/>
        <v>93.214285714285708</v>
      </c>
      <c r="P186" s="4">
        <f t="shared" si="61"/>
        <v>103.57142857142857</v>
      </c>
      <c r="Q186" s="4">
        <f t="shared" si="62"/>
        <v>545.86924369747896</v>
      </c>
      <c r="R186" s="4">
        <f t="shared" si="63"/>
        <v>695.98328571428556</v>
      </c>
      <c r="S186" s="4">
        <f t="shared" si="64"/>
        <v>773.31476190476189</v>
      </c>
    </row>
    <row r="187" spans="1:19" ht="33" hidden="1" customHeight="1" x14ac:dyDescent="0.25">
      <c r="A187" s="5">
        <v>185</v>
      </c>
      <c r="B187" s="5">
        <v>209</v>
      </c>
      <c r="C187" s="6" t="s">
        <v>202</v>
      </c>
      <c r="D187" s="5">
        <v>212</v>
      </c>
      <c r="E187" s="7">
        <v>2.23</v>
      </c>
      <c r="F187" s="7">
        <f t="shared" si="56"/>
        <v>472.76</v>
      </c>
      <c r="G187" s="8">
        <f t="shared" si="65"/>
        <v>472.76</v>
      </c>
      <c r="H187" s="4">
        <f t="shared" si="57"/>
        <v>602.76899999999989</v>
      </c>
      <c r="I187" s="4">
        <f t="shared" si="79"/>
        <v>669.74333333333334</v>
      </c>
      <c r="J187" s="18">
        <v>2610</v>
      </c>
      <c r="K187" s="7">
        <f t="shared" si="66"/>
        <v>35.699999999999996</v>
      </c>
      <c r="L187" s="7">
        <f t="shared" si="67"/>
        <v>28</v>
      </c>
      <c r="M187" s="7">
        <f t="shared" si="68"/>
        <v>25.2</v>
      </c>
      <c r="N187" s="7">
        <f t="shared" si="59"/>
        <v>73.109243697479002</v>
      </c>
      <c r="O187" s="7">
        <f t="shared" si="60"/>
        <v>93.214285714285708</v>
      </c>
      <c r="P187" s="4">
        <f t="shared" si="61"/>
        <v>103.57142857142857</v>
      </c>
      <c r="Q187" s="4">
        <f t="shared" si="62"/>
        <v>545.86924369747896</v>
      </c>
      <c r="R187" s="4">
        <f t="shared" si="63"/>
        <v>695.98328571428556</v>
      </c>
      <c r="S187" s="4">
        <f t="shared" si="64"/>
        <v>773.31476190476189</v>
      </c>
    </row>
    <row r="188" spans="1:19" ht="33" hidden="1" customHeight="1" x14ac:dyDescent="0.25">
      <c r="A188" s="5">
        <v>186</v>
      </c>
      <c r="B188" s="5">
        <v>75</v>
      </c>
      <c r="C188" s="6" t="s">
        <v>203</v>
      </c>
      <c r="D188" s="5">
        <v>250</v>
      </c>
      <c r="E188" s="7">
        <v>2.23</v>
      </c>
      <c r="F188" s="7">
        <f t="shared" si="56"/>
        <v>557.5</v>
      </c>
      <c r="G188" s="8">
        <f t="shared" si="65"/>
        <v>557.5</v>
      </c>
      <c r="H188" s="4">
        <f t="shared" si="57"/>
        <v>710.8125</v>
      </c>
      <c r="I188" s="4">
        <f t="shared" si="79"/>
        <v>789.79166666666674</v>
      </c>
      <c r="J188" s="18">
        <v>2610</v>
      </c>
      <c r="K188" s="7">
        <f t="shared" si="66"/>
        <v>35.699999999999996</v>
      </c>
      <c r="L188" s="7">
        <f t="shared" si="67"/>
        <v>28</v>
      </c>
      <c r="M188" s="7">
        <f t="shared" si="68"/>
        <v>25.2</v>
      </c>
      <c r="N188" s="7">
        <f t="shared" si="59"/>
        <v>73.109243697479002</v>
      </c>
      <c r="O188" s="7">
        <f t="shared" si="60"/>
        <v>93.214285714285708</v>
      </c>
      <c r="P188" s="4">
        <f t="shared" si="61"/>
        <v>103.57142857142857</v>
      </c>
      <c r="Q188" s="4">
        <f t="shared" si="62"/>
        <v>630.60924369747897</v>
      </c>
      <c r="R188" s="4">
        <f t="shared" si="63"/>
        <v>804.02678571428567</v>
      </c>
      <c r="S188" s="4">
        <f t="shared" si="64"/>
        <v>893.3630952380953</v>
      </c>
    </row>
    <row r="189" spans="1:19" ht="33" hidden="1" customHeight="1" x14ac:dyDescent="0.25">
      <c r="A189" s="5">
        <v>187</v>
      </c>
      <c r="B189" s="5">
        <v>71</v>
      </c>
      <c r="C189" s="10" t="s">
        <v>204</v>
      </c>
      <c r="D189" s="5">
        <v>272</v>
      </c>
      <c r="E189" s="7">
        <v>2.23</v>
      </c>
      <c r="F189" s="7">
        <f t="shared" si="56"/>
        <v>606.55999999999995</v>
      </c>
      <c r="G189" s="8">
        <f t="shared" si="65"/>
        <v>606.55999999999995</v>
      </c>
      <c r="H189" s="4">
        <f t="shared" si="57"/>
        <v>773.36399999999992</v>
      </c>
      <c r="I189" s="4">
        <f t="shared" si="79"/>
        <v>859.29333333333329</v>
      </c>
      <c r="J189" s="18">
        <v>2610</v>
      </c>
      <c r="K189" s="7">
        <f t="shared" si="66"/>
        <v>35.699999999999996</v>
      </c>
      <c r="L189" s="7">
        <f t="shared" si="67"/>
        <v>28</v>
      </c>
      <c r="M189" s="7">
        <f t="shared" si="68"/>
        <v>25.2</v>
      </c>
      <c r="N189" s="7">
        <f t="shared" si="59"/>
        <v>73.109243697479002</v>
      </c>
      <c r="O189" s="7">
        <f t="shared" si="60"/>
        <v>93.214285714285708</v>
      </c>
      <c r="P189" s="4">
        <f t="shared" si="61"/>
        <v>103.57142857142857</v>
      </c>
      <c r="Q189" s="4">
        <f t="shared" si="62"/>
        <v>679.66924369747892</v>
      </c>
      <c r="R189" s="4">
        <f t="shared" si="63"/>
        <v>866.57828571428558</v>
      </c>
      <c r="S189" s="4">
        <f t="shared" si="64"/>
        <v>962.86476190476185</v>
      </c>
    </row>
    <row r="190" spans="1:19" ht="33" hidden="1" customHeight="1" x14ac:dyDescent="0.25">
      <c r="A190" s="5">
        <v>188</v>
      </c>
      <c r="B190" s="5">
        <v>202</v>
      </c>
      <c r="C190" s="10" t="s">
        <v>205</v>
      </c>
      <c r="D190" s="5">
        <v>292</v>
      </c>
      <c r="E190" s="7">
        <v>2.23</v>
      </c>
      <c r="F190" s="7">
        <f t="shared" si="56"/>
        <v>651.16</v>
      </c>
      <c r="G190" s="8">
        <f t="shared" si="65"/>
        <v>651.16</v>
      </c>
      <c r="H190" s="4">
        <f t="shared" si="57"/>
        <v>830.22899999999993</v>
      </c>
      <c r="I190" s="4">
        <f t="shared" si="79"/>
        <v>922.47666666666669</v>
      </c>
      <c r="J190" s="18">
        <v>2610</v>
      </c>
      <c r="K190" s="7">
        <f t="shared" si="66"/>
        <v>35.699999999999996</v>
      </c>
      <c r="L190" s="7">
        <f t="shared" si="67"/>
        <v>28</v>
      </c>
      <c r="M190" s="7">
        <f t="shared" si="68"/>
        <v>25.2</v>
      </c>
      <c r="N190" s="7">
        <f t="shared" si="59"/>
        <v>73.109243697479002</v>
      </c>
      <c r="O190" s="7">
        <f t="shared" si="60"/>
        <v>93.214285714285708</v>
      </c>
      <c r="P190" s="4">
        <f t="shared" si="61"/>
        <v>103.57142857142857</v>
      </c>
      <c r="Q190" s="4">
        <f t="shared" si="62"/>
        <v>724.26924369747894</v>
      </c>
      <c r="R190" s="4">
        <f t="shared" si="63"/>
        <v>923.44328571428559</v>
      </c>
      <c r="S190" s="4">
        <f t="shared" si="64"/>
        <v>1026.0480952380954</v>
      </c>
    </row>
    <row r="191" spans="1:19" ht="33" hidden="1" customHeight="1" x14ac:dyDescent="0.25">
      <c r="A191" s="5">
        <v>189</v>
      </c>
      <c r="B191" s="5">
        <v>332</v>
      </c>
      <c r="C191" s="6" t="s">
        <v>206</v>
      </c>
      <c r="D191" s="5">
        <v>394</v>
      </c>
      <c r="E191" s="7">
        <v>2.23</v>
      </c>
      <c r="F191" s="7">
        <f t="shared" si="56"/>
        <v>878.62</v>
      </c>
      <c r="G191" s="8">
        <f t="shared" si="65"/>
        <v>878.62</v>
      </c>
      <c r="H191" s="4">
        <f t="shared" si="57"/>
        <v>1120.2404999999999</v>
      </c>
      <c r="I191" s="4">
        <f t="shared" si="79"/>
        <v>1244.7116666666668</v>
      </c>
      <c r="J191" s="18">
        <v>1265</v>
      </c>
      <c r="K191" s="7">
        <f t="shared" si="66"/>
        <v>35.699999999999996</v>
      </c>
      <c r="L191" s="7">
        <f t="shared" si="67"/>
        <v>28</v>
      </c>
      <c r="M191" s="7">
        <f t="shared" si="68"/>
        <v>25.2</v>
      </c>
      <c r="N191" s="7">
        <f t="shared" si="59"/>
        <v>35.434173669467789</v>
      </c>
      <c r="O191" s="7">
        <f t="shared" si="60"/>
        <v>45.178571428571431</v>
      </c>
      <c r="P191" s="4">
        <f t="shared" si="61"/>
        <v>50.198412698412703</v>
      </c>
      <c r="Q191" s="4">
        <f t="shared" si="62"/>
        <v>914.05417366946779</v>
      </c>
      <c r="R191" s="4">
        <f t="shared" si="63"/>
        <v>1165.4190714285712</v>
      </c>
      <c r="S191" s="4">
        <f t="shared" si="64"/>
        <v>1294.9100793650796</v>
      </c>
    </row>
    <row r="192" spans="1:19" ht="33" hidden="1" customHeight="1" x14ac:dyDescent="0.25">
      <c r="A192" s="5">
        <v>190</v>
      </c>
      <c r="B192" s="5">
        <v>72</v>
      </c>
      <c r="C192" s="6" t="s">
        <v>207</v>
      </c>
      <c r="D192" s="5">
        <v>310</v>
      </c>
      <c r="E192" s="7">
        <v>2.23</v>
      </c>
      <c r="F192" s="7">
        <f t="shared" si="56"/>
        <v>691.3</v>
      </c>
      <c r="G192" s="8">
        <f t="shared" si="65"/>
        <v>691.3</v>
      </c>
      <c r="H192" s="4">
        <f t="shared" si="57"/>
        <v>881.40749999999991</v>
      </c>
      <c r="I192" s="4">
        <f t="shared" si="79"/>
        <v>979.3416666666667</v>
      </c>
      <c r="J192" s="18">
        <v>2610</v>
      </c>
      <c r="K192" s="7">
        <f t="shared" si="66"/>
        <v>35.699999999999996</v>
      </c>
      <c r="L192" s="7">
        <f t="shared" si="67"/>
        <v>28</v>
      </c>
      <c r="M192" s="7">
        <f t="shared" si="68"/>
        <v>25.2</v>
      </c>
      <c r="N192" s="7">
        <f t="shared" si="59"/>
        <v>73.109243697479002</v>
      </c>
      <c r="O192" s="7">
        <f t="shared" si="60"/>
        <v>93.214285714285708</v>
      </c>
      <c r="P192" s="4">
        <f t="shared" si="61"/>
        <v>103.57142857142857</v>
      </c>
      <c r="Q192" s="4">
        <f t="shared" si="62"/>
        <v>764.40924369747893</v>
      </c>
      <c r="R192" s="4">
        <f t="shared" si="63"/>
        <v>974.62178571428558</v>
      </c>
      <c r="S192" s="4">
        <f t="shared" si="64"/>
        <v>1082.9130952380954</v>
      </c>
    </row>
    <row r="193" spans="1:19" ht="33" hidden="1" customHeight="1" x14ac:dyDescent="0.25">
      <c r="A193" s="5">
        <v>191</v>
      </c>
      <c r="B193" s="5">
        <v>101</v>
      </c>
      <c r="C193" s="6" t="s">
        <v>208</v>
      </c>
      <c r="D193" s="5">
        <v>300</v>
      </c>
      <c r="E193" s="7">
        <v>2.23</v>
      </c>
      <c r="F193" s="7">
        <f t="shared" si="56"/>
        <v>669</v>
      </c>
      <c r="G193" s="8">
        <f t="shared" si="65"/>
        <v>669</v>
      </c>
      <c r="H193" s="4">
        <f t="shared" si="57"/>
        <v>852.97499999999991</v>
      </c>
      <c r="I193" s="4">
        <f t="shared" si="79"/>
        <v>947.75</v>
      </c>
      <c r="J193" s="18">
        <v>2610</v>
      </c>
      <c r="K193" s="7">
        <f t="shared" si="66"/>
        <v>35.699999999999996</v>
      </c>
      <c r="L193" s="7">
        <f t="shared" si="67"/>
        <v>28</v>
      </c>
      <c r="M193" s="7">
        <f t="shared" si="68"/>
        <v>25.2</v>
      </c>
      <c r="N193" s="7">
        <f t="shared" si="59"/>
        <v>73.109243697479002</v>
      </c>
      <c r="O193" s="7">
        <f t="shared" si="60"/>
        <v>93.214285714285708</v>
      </c>
      <c r="P193" s="4">
        <f t="shared" si="61"/>
        <v>103.57142857142857</v>
      </c>
      <c r="Q193" s="4">
        <f t="shared" si="62"/>
        <v>742.10924369747897</v>
      </c>
      <c r="R193" s="4">
        <f t="shared" si="63"/>
        <v>946.18928571428557</v>
      </c>
      <c r="S193" s="4">
        <f t="shared" si="64"/>
        <v>1051.3214285714287</v>
      </c>
    </row>
    <row r="194" spans="1:19" ht="33" hidden="1" customHeight="1" x14ac:dyDescent="0.25">
      <c r="A194" s="5">
        <v>192</v>
      </c>
      <c r="B194" s="5">
        <v>73</v>
      </c>
      <c r="C194" s="6" t="s">
        <v>209</v>
      </c>
      <c r="D194" s="5">
        <v>347</v>
      </c>
      <c r="E194" s="7">
        <v>2.23</v>
      </c>
      <c r="F194" s="7">
        <f t="shared" si="56"/>
        <v>773.81</v>
      </c>
      <c r="G194" s="8">
        <f t="shared" si="65"/>
        <v>773.81</v>
      </c>
      <c r="H194" s="4">
        <f t="shared" si="57"/>
        <v>986.6077499999999</v>
      </c>
      <c r="I194" s="4">
        <f t="shared" si="79"/>
        <v>1096.2308333333333</v>
      </c>
      <c r="J194" s="18">
        <v>2610</v>
      </c>
      <c r="K194" s="7">
        <f t="shared" si="66"/>
        <v>35.699999999999996</v>
      </c>
      <c r="L194" s="7">
        <f t="shared" si="67"/>
        <v>28</v>
      </c>
      <c r="M194" s="7">
        <f t="shared" si="68"/>
        <v>25.2</v>
      </c>
      <c r="N194" s="7">
        <f t="shared" si="59"/>
        <v>73.109243697479002</v>
      </c>
      <c r="O194" s="7">
        <f t="shared" si="60"/>
        <v>93.214285714285708</v>
      </c>
      <c r="P194" s="4">
        <f t="shared" si="61"/>
        <v>103.57142857142857</v>
      </c>
      <c r="Q194" s="4">
        <f t="shared" si="62"/>
        <v>846.91924369747892</v>
      </c>
      <c r="R194" s="4">
        <f t="shared" si="63"/>
        <v>1079.8220357142857</v>
      </c>
      <c r="S194" s="4">
        <f t="shared" si="64"/>
        <v>1199.802261904762</v>
      </c>
    </row>
    <row r="195" spans="1:19" ht="33" hidden="1" customHeight="1" x14ac:dyDescent="0.25">
      <c r="A195" s="5">
        <v>193</v>
      </c>
      <c r="B195" s="5">
        <v>74</v>
      </c>
      <c r="C195" s="6" t="s">
        <v>210</v>
      </c>
      <c r="D195" s="5">
        <v>320</v>
      </c>
      <c r="E195" s="7">
        <v>2.23</v>
      </c>
      <c r="F195" s="7">
        <f t="shared" si="56"/>
        <v>713.6</v>
      </c>
      <c r="G195" s="8">
        <f t="shared" si="65"/>
        <v>713.6</v>
      </c>
      <c r="H195" s="4">
        <f t="shared" si="57"/>
        <v>909.83999999999992</v>
      </c>
      <c r="I195" s="4">
        <f t="shared" si="79"/>
        <v>1010.9333333333334</v>
      </c>
      <c r="J195" s="18">
        <v>2610</v>
      </c>
      <c r="K195" s="7">
        <f t="shared" si="66"/>
        <v>35.699999999999996</v>
      </c>
      <c r="L195" s="7">
        <f t="shared" si="67"/>
        <v>28</v>
      </c>
      <c r="M195" s="7">
        <f t="shared" si="68"/>
        <v>25.2</v>
      </c>
      <c r="N195" s="7">
        <f t="shared" si="59"/>
        <v>73.109243697479002</v>
      </c>
      <c r="O195" s="7">
        <f t="shared" si="60"/>
        <v>93.214285714285708</v>
      </c>
      <c r="P195" s="4">
        <f t="shared" si="61"/>
        <v>103.57142857142857</v>
      </c>
      <c r="Q195" s="4">
        <f t="shared" si="62"/>
        <v>786.709243697479</v>
      </c>
      <c r="R195" s="4">
        <f t="shared" si="63"/>
        <v>1003.0542857142856</v>
      </c>
      <c r="S195" s="4">
        <f t="shared" si="64"/>
        <v>1114.5047619047621</v>
      </c>
    </row>
    <row r="196" spans="1:19" ht="33" hidden="1" customHeight="1" x14ac:dyDescent="0.25">
      <c r="A196" s="5">
        <v>194</v>
      </c>
      <c r="B196" s="5">
        <v>76</v>
      </c>
      <c r="C196" s="6" t="s">
        <v>211</v>
      </c>
      <c r="D196" s="5">
        <v>230</v>
      </c>
      <c r="E196" s="7">
        <v>2.23</v>
      </c>
      <c r="F196" s="7">
        <f t="shared" si="56"/>
        <v>512.9</v>
      </c>
      <c r="G196" s="8">
        <f t="shared" si="65"/>
        <v>512.9</v>
      </c>
      <c r="H196" s="4">
        <f t="shared" si="57"/>
        <v>653.94749999999988</v>
      </c>
      <c r="I196" s="4">
        <f t="shared" si="79"/>
        <v>726.60833333333335</v>
      </c>
      <c r="J196" s="18">
        <v>2610</v>
      </c>
      <c r="K196" s="7">
        <f t="shared" si="66"/>
        <v>35.699999999999996</v>
      </c>
      <c r="L196" s="7">
        <f t="shared" si="67"/>
        <v>28</v>
      </c>
      <c r="M196" s="7">
        <f t="shared" si="68"/>
        <v>25.2</v>
      </c>
      <c r="N196" s="7">
        <f t="shared" si="59"/>
        <v>73.109243697479002</v>
      </c>
      <c r="O196" s="7">
        <f t="shared" si="60"/>
        <v>93.214285714285708</v>
      </c>
      <c r="P196" s="4">
        <f t="shared" si="61"/>
        <v>103.57142857142857</v>
      </c>
      <c r="Q196" s="4">
        <f t="shared" si="62"/>
        <v>586.00924369747895</v>
      </c>
      <c r="R196" s="4">
        <f t="shared" si="63"/>
        <v>747.16178571428554</v>
      </c>
      <c r="S196" s="4">
        <f t="shared" si="64"/>
        <v>830.1797619047619</v>
      </c>
    </row>
    <row r="197" spans="1:19" ht="33" hidden="1" customHeight="1" x14ac:dyDescent="0.25">
      <c r="A197" s="5">
        <v>195</v>
      </c>
      <c r="B197" s="5">
        <v>79</v>
      </c>
      <c r="C197" s="6" t="s">
        <v>212</v>
      </c>
      <c r="D197" s="5">
        <v>151</v>
      </c>
      <c r="E197" s="7">
        <v>2.23</v>
      </c>
      <c r="F197" s="7">
        <f t="shared" si="56"/>
        <v>336.73</v>
      </c>
      <c r="G197" s="8">
        <f t="shared" si="65"/>
        <v>336.73</v>
      </c>
      <c r="H197" s="4">
        <f t="shared" si="57"/>
        <v>429.33074999999997</v>
      </c>
      <c r="I197" s="4">
        <f t="shared" si="79"/>
        <v>477.03416666666669</v>
      </c>
      <c r="J197" s="18">
        <v>2610</v>
      </c>
      <c r="K197" s="7">
        <f t="shared" si="66"/>
        <v>35.699999999999996</v>
      </c>
      <c r="L197" s="7">
        <f t="shared" si="67"/>
        <v>28</v>
      </c>
      <c r="M197" s="7">
        <f t="shared" si="68"/>
        <v>25.2</v>
      </c>
      <c r="N197" s="7">
        <f t="shared" si="59"/>
        <v>73.109243697479002</v>
      </c>
      <c r="O197" s="7">
        <f t="shared" si="60"/>
        <v>93.214285714285708</v>
      </c>
      <c r="P197" s="4">
        <f t="shared" si="61"/>
        <v>103.57142857142857</v>
      </c>
      <c r="Q197" s="4">
        <f t="shared" si="62"/>
        <v>409.83924369747899</v>
      </c>
      <c r="R197" s="4">
        <f t="shared" si="63"/>
        <v>522.54503571428563</v>
      </c>
      <c r="S197" s="4">
        <f t="shared" si="64"/>
        <v>580.60559523809525</v>
      </c>
    </row>
    <row r="198" spans="1:19" ht="33" hidden="1" customHeight="1" x14ac:dyDescent="0.25">
      <c r="A198" s="5">
        <v>196</v>
      </c>
      <c r="B198" s="5">
        <v>80</v>
      </c>
      <c r="C198" s="6" t="s">
        <v>213</v>
      </c>
      <c r="D198" s="5">
        <v>217</v>
      </c>
      <c r="E198" s="7">
        <v>2.23</v>
      </c>
      <c r="F198" s="7">
        <f t="shared" si="56"/>
        <v>483.90999999999997</v>
      </c>
      <c r="G198" s="8">
        <f t="shared" si="65"/>
        <v>483.90999999999997</v>
      </c>
      <c r="H198" s="4">
        <f t="shared" si="57"/>
        <v>616.98524999999995</v>
      </c>
      <c r="I198" s="4">
        <f t="shared" si="79"/>
        <v>685.53916666666669</v>
      </c>
      <c r="J198" s="18">
        <v>2610</v>
      </c>
      <c r="K198" s="7">
        <f t="shared" si="66"/>
        <v>35.699999999999996</v>
      </c>
      <c r="L198" s="7">
        <f t="shared" si="67"/>
        <v>28</v>
      </c>
      <c r="M198" s="7">
        <f t="shared" si="68"/>
        <v>25.2</v>
      </c>
      <c r="N198" s="7">
        <f t="shared" si="59"/>
        <v>73.109243697479002</v>
      </c>
      <c r="O198" s="7">
        <f t="shared" si="60"/>
        <v>93.214285714285708</v>
      </c>
      <c r="P198" s="4">
        <f t="shared" si="61"/>
        <v>103.57142857142857</v>
      </c>
      <c r="Q198" s="4">
        <f t="shared" si="62"/>
        <v>557.01924369747894</v>
      </c>
      <c r="R198" s="4">
        <f t="shared" si="63"/>
        <v>710.19953571428562</v>
      </c>
      <c r="S198" s="4">
        <f t="shared" si="64"/>
        <v>789.11059523809524</v>
      </c>
    </row>
    <row r="199" spans="1:19" ht="33" hidden="1" customHeight="1" x14ac:dyDescent="0.25">
      <c r="A199" s="5">
        <v>197</v>
      </c>
      <c r="B199" s="5">
        <v>77</v>
      </c>
      <c r="C199" s="6" t="s">
        <v>214</v>
      </c>
      <c r="D199" s="5">
        <v>249</v>
      </c>
      <c r="E199" s="7">
        <v>2.23</v>
      </c>
      <c r="F199" s="7">
        <f t="shared" si="56"/>
        <v>555.27</v>
      </c>
      <c r="G199" s="8">
        <f t="shared" si="65"/>
        <v>555.27</v>
      </c>
      <c r="H199" s="4">
        <f t="shared" si="57"/>
        <v>707.96924999999987</v>
      </c>
      <c r="I199" s="4">
        <f t="shared" si="79"/>
        <v>786.63250000000005</v>
      </c>
      <c r="J199" s="18">
        <v>2610</v>
      </c>
      <c r="K199" s="7">
        <f t="shared" si="66"/>
        <v>35.699999999999996</v>
      </c>
      <c r="L199" s="7">
        <f t="shared" si="67"/>
        <v>28</v>
      </c>
      <c r="M199" s="7">
        <f t="shared" si="68"/>
        <v>25.2</v>
      </c>
      <c r="N199" s="7">
        <f t="shared" si="59"/>
        <v>73.109243697479002</v>
      </c>
      <c r="O199" s="7">
        <f t="shared" si="60"/>
        <v>93.214285714285708</v>
      </c>
      <c r="P199" s="4">
        <f t="shared" si="61"/>
        <v>103.57142857142857</v>
      </c>
      <c r="Q199" s="4">
        <f t="shared" si="62"/>
        <v>628.37924369747896</v>
      </c>
      <c r="R199" s="4">
        <f t="shared" si="63"/>
        <v>801.18353571428554</v>
      </c>
      <c r="S199" s="4">
        <f t="shared" si="64"/>
        <v>890.20392857142861</v>
      </c>
    </row>
    <row r="200" spans="1:19" ht="33" hidden="1" customHeight="1" x14ac:dyDescent="0.25">
      <c r="A200" s="5">
        <v>198</v>
      </c>
      <c r="B200" s="5">
        <v>78</v>
      </c>
      <c r="C200" s="6" t="s">
        <v>215</v>
      </c>
      <c r="D200" s="5">
        <v>315</v>
      </c>
      <c r="E200" s="7">
        <v>2.23</v>
      </c>
      <c r="F200" s="7">
        <f t="shared" si="56"/>
        <v>702.45</v>
      </c>
      <c r="G200" s="8">
        <f t="shared" si="65"/>
        <v>702.45</v>
      </c>
      <c r="H200" s="4">
        <f t="shared" si="57"/>
        <v>895.62374999999997</v>
      </c>
      <c r="I200" s="4">
        <f t="shared" si="79"/>
        <v>995.13750000000016</v>
      </c>
      <c r="J200" s="18">
        <v>2610</v>
      </c>
      <c r="K200" s="7">
        <f t="shared" si="66"/>
        <v>35.699999999999996</v>
      </c>
      <c r="L200" s="7">
        <f t="shared" si="67"/>
        <v>28</v>
      </c>
      <c r="M200" s="7">
        <f t="shared" si="68"/>
        <v>25.2</v>
      </c>
      <c r="N200" s="7">
        <f t="shared" si="59"/>
        <v>73.109243697479002</v>
      </c>
      <c r="O200" s="7">
        <f t="shared" si="60"/>
        <v>93.214285714285708</v>
      </c>
      <c r="P200" s="4">
        <f t="shared" si="61"/>
        <v>103.57142857142857</v>
      </c>
      <c r="Q200" s="4">
        <f t="shared" si="62"/>
        <v>775.55924369747902</v>
      </c>
      <c r="R200" s="4">
        <f t="shared" si="63"/>
        <v>988.83803571428564</v>
      </c>
      <c r="S200" s="4">
        <f t="shared" si="64"/>
        <v>1098.7089285714287</v>
      </c>
    </row>
    <row r="201" spans="1:19" ht="33" hidden="1" customHeight="1" x14ac:dyDescent="0.25">
      <c r="A201" s="5">
        <v>199</v>
      </c>
      <c r="B201" s="5">
        <v>94</v>
      </c>
      <c r="C201" s="6" t="s">
        <v>216</v>
      </c>
      <c r="D201" s="5">
        <v>259</v>
      </c>
      <c r="E201" s="7">
        <v>2.23</v>
      </c>
      <c r="F201" s="7">
        <f t="shared" si="56"/>
        <v>577.57000000000005</v>
      </c>
      <c r="G201" s="8">
        <f t="shared" si="65"/>
        <v>577.57000000000005</v>
      </c>
      <c r="H201" s="4">
        <f t="shared" si="57"/>
        <v>736.40174999999999</v>
      </c>
      <c r="I201" s="4">
        <f t="shared" si="79"/>
        <v>818.22416666666675</v>
      </c>
      <c r="J201" s="18">
        <v>2610</v>
      </c>
      <c r="K201" s="7">
        <f t="shared" si="66"/>
        <v>35.699999999999996</v>
      </c>
      <c r="L201" s="7">
        <f t="shared" si="67"/>
        <v>28</v>
      </c>
      <c r="M201" s="7">
        <f t="shared" si="68"/>
        <v>25.2</v>
      </c>
      <c r="N201" s="7">
        <f t="shared" si="59"/>
        <v>73.109243697479002</v>
      </c>
      <c r="O201" s="7">
        <f t="shared" si="60"/>
        <v>93.214285714285708</v>
      </c>
      <c r="P201" s="4">
        <f t="shared" si="61"/>
        <v>103.57142857142857</v>
      </c>
      <c r="Q201" s="4">
        <f t="shared" si="62"/>
        <v>650.67924369747902</v>
      </c>
      <c r="R201" s="4">
        <f t="shared" si="63"/>
        <v>829.61603571428566</v>
      </c>
      <c r="S201" s="4">
        <f t="shared" si="64"/>
        <v>921.7955952380953</v>
      </c>
    </row>
    <row r="202" spans="1:19" ht="33" hidden="1" customHeight="1" x14ac:dyDescent="0.25">
      <c r="A202" s="5">
        <v>200</v>
      </c>
      <c r="B202" s="5">
        <v>98</v>
      </c>
      <c r="C202" s="6" t="s">
        <v>217</v>
      </c>
      <c r="D202" s="5">
        <v>216</v>
      </c>
      <c r="E202" s="7">
        <v>2.23</v>
      </c>
      <c r="F202" s="7">
        <f t="shared" si="56"/>
        <v>481.68</v>
      </c>
      <c r="G202" s="8">
        <f t="shared" si="65"/>
        <v>481.68</v>
      </c>
      <c r="H202" s="4">
        <f t="shared" si="57"/>
        <v>614.14199999999994</v>
      </c>
      <c r="I202" s="4">
        <f t="shared" si="79"/>
        <v>682.38</v>
      </c>
      <c r="J202" s="18">
        <v>2610</v>
      </c>
      <c r="K202" s="7">
        <f t="shared" si="66"/>
        <v>35.699999999999996</v>
      </c>
      <c r="L202" s="7">
        <f t="shared" si="67"/>
        <v>28</v>
      </c>
      <c r="M202" s="7">
        <f t="shared" si="68"/>
        <v>25.2</v>
      </c>
      <c r="N202" s="7">
        <f t="shared" si="59"/>
        <v>73.109243697479002</v>
      </c>
      <c r="O202" s="7">
        <f t="shared" si="60"/>
        <v>93.214285714285708</v>
      </c>
      <c r="P202" s="4">
        <f t="shared" si="61"/>
        <v>103.57142857142857</v>
      </c>
      <c r="Q202" s="4">
        <f t="shared" si="62"/>
        <v>554.78924369747904</v>
      </c>
      <c r="R202" s="4">
        <f t="shared" si="63"/>
        <v>707.3562857142856</v>
      </c>
      <c r="S202" s="4">
        <f t="shared" si="64"/>
        <v>785.95142857142855</v>
      </c>
    </row>
    <row r="203" spans="1:19" ht="33" hidden="1" customHeight="1" x14ac:dyDescent="0.25">
      <c r="A203" s="5">
        <v>201</v>
      </c>
      <c r="B203" s="5">
        <v>185</v>
      </c>
      <c r="C203" s="6" t="s">
        <v>218</v>
      </c>
      <c r="D203" s="5">
        <v>236</v>
      </c>
      <c r="E203" s="7">
        <v>2.23</v>
      </c>
      <c r="F203" s="7">
        <f t="shared" si="56"/>
        <v>526.28</v>
      </c>
      <c r="G203" s="8">
        <f t="shared" si="65"/>
        <v>526.28</v>
      </c>
      <c r="H203" s="4">
        <f t="shared" si="57"/>
        <v>671.00699999999995</v>
      </c>
      <c r="I203" s="4">
        <f t="shared" si="79"/>
        <v>745.56333333333339</v>
      </c>
      <c r="J203" s="18">
        <v>2610</v>
      </c>
      <c r="K203" s="7">
        <f t="shared" si="66"/>
        <v>35.699999999999996</v>
      </c>
      <c r="L203" s="7">
        <f t="shared" si="67"/>
        <v>28</v>
      </c>
      <c r="M203" s="7">
        <f t="shared" si="68"/>
        <v>25.2</v>
      </c>
      <c r="N203" s="7">
        <f t="shared" si="59"/>
        <v>73.109243697479002</v>
      </c>
      <c r="O203" s="7">
        <f t="shared" si="60"/>
        <v>93.214285714285708</v>
      </c>
      <c r="P203" s="4">
        <f t="shared" si="61"/>
        <v>103.57142857142857</v>
      </c>
      <c r="Q203" s="4">
        <f t="shared" si="62"/>
        <v>599.38924369747895</v>
      </c>
      <c r="R203" s="4">
        <f t="shared" si="63"/>
        <v>764.22128571428561</v>
      </c>
      <c r="S203" s="4">
        <f t="shared" si="64"/>
        <v>849.13476190476194</v>
      </c>
    </row>
    <row r="204" spans="1:19" ht="33" hidden="1" customHeight="1" x14ac:dyDescent="0.25">
      <c r="A204" s="5">
        <v>202</v>
      </c>
      <c r="B204" s="5">
        <v>214</v>
      </c>
      <c r="C204" s="6" t="s">
        <v>219</v>
      </c>
      <c r="D204" s="5">
        <v>238</v>
      </c>
      <c r="E204" s="7">
        <v>2.23</v>
      </c>
      <c r="F204" s="7">
        <f t="shared" si="56"/>
        <v>530.74</v>
      </c>
      <c r="G204" s="8">
        <f t="shared" si="65"/>
        <v>530.74</v>
      </c>
      <c r="H204" s="4">
        <f t="shared" si="57"/>
        <v>676.69349999999997</v>
      </c>
      <c r="I204" s="4">
        <f t="shared" si="79"/>
        <v>751.88166666666677</v>
      </c>
      <c r="J204" s="18">
        <v>2610</v>
      </c>
      <c r="K204" s="7">
        <f t="shared" si="66"/>
        <v>35.699999999999996</v>
      </c>
      <c r="L204" s="7">
        <f t="shared" si="67"/>
        <v>28</v>
      </c>
      <c r="M204" s="7">
        <f t="shared" si="68"/>
        <v>25.2</v>
      </c>
      <c r="N204" s="7">
        <f t="shared" si="59"/>
        <v>73.109243697479002</v>
      </c>
      <c r="O204" s="7">
        <f t="shared" si="60"/>
        <v>93.214285714285708</v>
      </c>
      <c r="P204" s="4">
        <f t="shared" si="61"/>
        <v>103.57142857142857</v>
      </c>
      <c r="Q204" s="4">
        <f t="shared" si="62"/>
        <v>603.84924369747898</v>
      </c>
      <c r="R204" s="4">
        <f t="shared" si="63"/>
        <v>769.90778571428564</v>
      </c>
      <c r="S204" s="4">
        <f t="shared" si="64"/>
        <v>855.45309523809533</v>
      </c>
    </row>
    <row r="205" spans="1:19" ht="33" hidden="1" customHeight="1" x14ac:dyDescent="0.25">
      <c r="A205" s="5">
        <v>203</v>
      </c>
      <c r="B205" s="5">
        <v>431</v>
      </c>
      <c r="C205" s="6" t="s">
        <v>220</v>
      </c>
      <c r="D205" s="5">
        <v>150</v>
      </c>
      <c r="E205" s="7">
        <v>2.23</v>
      </c>
      <c r="F205" s="7">
        <f t="shared" si="56"/>
        <v>334.5</v>
      </c>
      <c r="G205" s="8">
        <f t="shared" si="65"/>
        <v>334.5</v>
      </c>
      <c r="H205" s="4">
        <f t="shared" si="57"/>
        <v>426.48749999999995</v>
      </c>
      <c r="I205" s="4">
        <f t="shared" si="79"/>
        <v>473.875</v>
      </c>
      <c r="J205" s="18">
        <v>2610</v>
      </c>
      <c r="K205" s="7">
        <f t="shared" si="66"/>
        <v>35.699999999999996</v>
      </c>
      <c r="L205" s="7">
        <f t="shared" si="67"/>
        <v>28</v>
      </c>
      <c r="M205" s="7">
        <f t="shared" si="68"/>
        <v>25.2</v>
      </c>
      <c r="N205" s="7">
        <f t="shared" si="59"/>
        <v>73.109243697479002</v>
      </c>
      <c r="O205" s="7">
        <f t="shared" si="60"/>
        <v>93.214285714285708</v>
      </c>
      <c r="P205" s="4">
        <f t="shared" si="61"/>
        <v>103.57142857142857</v>
      </c>
      <c r="Q205" s="4">
        <f t="shared" si="62"/>
        <v>407.60924369747897</v>
      </c>
      <c r="R205" s="4">
        <f t="shared" si="63"/>
        <v>519.70178571428562</v>
      </c>
      <c r="S205" s="4">
        <f t="shared" si="64"/>
        <v>577.44642857142856</v>
      </c>
    </row>
    <row r="206" spans="1:19" ht="33" hidden="1" customHeight="1" x14ac:dyDescent="0.25">
      <c r="A206" s="5">
        <v>204</v>
      </c>
      <c r="B206" s="5">
        <v>210</v>
      </c>
      <c r="C206" s="6" t="s">
        <v>221</v>
      </c>
      <c r="D206" s="5">
        <v>192</v>
      </c>
      <c r="E206" s="7">
        <v>2.23</v>
      </c>
      <c r="F206" s="7">
        <f t="shared" si="56"/>
        <v>428.15999999999997</v>
      </c>
      <c r="G206" s="8">
        <f t="shared" si="65"/>
        <v>428.15999999999997</v>
      </c>
      <c r="H206" s="4">
        <f t="shared" si="57"/>
        <v>545.90399999999988</v>
      </c>
      <c r="I206" s="4">
        <f t="shared" si="79"/>
        <v>606.55999999999995</v>
      </c>
      <c r="J206" s="18">
        <v>2610</v>
      </c>
      <c r="K206" s="7">
        <f t="shared" si="66"/>
        <v>35.699999999999996</v>
      </c>
      <c r="L206" s="7">
        <f t="shared" si="67"/>
        <v>28</v>
      </c>
      <c r="M206" s="7">
        <f t="shared" si="68"/>
        <v>25.2</v>
      </c>
      <c r="N206" s="7">
        <f t="shared" si="59"/>
        <v>73.109243697479002</v>
      </c>
      <c r="O206" s="7">
        <f t="shared" si="60"/>
        <v>93.214285714285708</v>
      </c>
      <c r="P206" s="4">
        <f t="shared" si="61"/>
        <v>103.57142857142857</v>
      </c>
      <c r="Q206" s="4">
        <f t="shared" si="62"/>
        <v>501.26924369747894</v>
      </c>
      <c r="R206" s="4">
        <f t="shared" si="63"/>
        <v>639.11828571428555</v>
      </c>
      <c r="S206" s="4">
        <f t="shared" si="64"/>
        <v>710.1314285714285</v>
      </c>
    </row>
    <row r="207" spans="1:19" ht="33" hidden="1" customHeight="1" x14ac:dyDescent="0.25">
      <c r="A207" s="5">
        <v>205</v>
      </c>
      <c r="B207" s="5">
        <v>327</v>
      </c>
      <c r="C207" s="6" t="s">
        <v>222</v>
      </c>
      <c r="D207" s="5">
        <v>192</v>
      </c>
      <c r="E207" s="7">
        <v>2.23</v>
      </c>
      <c r="F207" s="7">
        <f t="shared" si="56"/>
        <v>428.15999999999997</v>
      </c>
      <c r="G207" s="8">
        <f t="shared" si="65"/>
        <v>428.15999999999997</v>
      </c>
      <c r="H207" s="4">
        <f t="shared" si="57"/>
        <v>545.90399999999988</v>
      </c>
      <c r="I207" s="4">
        <f t="shared" si="79"/>
        <v>606.55999999999995</v>
      </c>
      <c r="J207" s="18">
        <v>2610</v>
      </c>
      <c r="K207" s="7">
        <f t="shared" si="66"/>
        <v>35.699999999999996</v>
      </c>
      <c r="L207" s="7">
        <f t="shared" si="67"/>
        <v>28</v>
      </c>
      <c r="M207" s="7">
        <f t="shared" si="68"/>
        <v>25.2</v>
      </c>
      <c r="N207" s="7">
        <f t="shared" si="59"/>
        <v>73.109243697479002</v>
      </c>
      <c r="O207" s="7">
        <f t="shared" si="60"/>
        <v>93.214285714285708</v>
      </c>
      <c r="P207" s="4">
        <f t="shared" si="61"/>
        <v>103.57142857142857</v>
      </c>
      <c r="Q207" s="4">
        <f t="shared" si="62"/>
        <v>501.26924369747894</v>
      </c>
      <c r="R207" s="4">
        <f t="shared" si="63"/>
        <v>639.11828571428555</v>
      </c>
      <c r="S207" s="4">
        <f t="shared" si="64"/>
        <v>710.1314285714285</v>
      </c>
    </row>
    <row r="208" spans="1:19" ht="33" hidden="1" customHeight="1" x14ac:dyDescent="0.25">
      <c r="A208" s="5">
        <v>206</v>
      </c>
      <c r="B208" s="5">
        <v>326</v>
      </c>
      <c r="C208" s="6" t="s">
        <v>223</v>
      </c>
      <c r="D208" s="5">
        <v>155</v>
      </c>
      <c r="E208" s="7">
        <v>2.23</v>
      </c>
      <c r="F208" s="7">
        <f t="shared" si="56"/>
        <v>345.65</v>
      </c>
      <c r="G208" s="8">
        <f t="shared" si="65"/>
        <v>345.65</v>
      </c>
      <c r="H208" s="4">
        <f t="shared" si="57"/>
        <v>440.70374999999996</v>
      </c>
      <c r="I208" s="4">
        <f t="shared" si="79"/>
        <v>489.67083333333335</v>
      </c>
      <c r="J208" s="18">
        <v>2610</v>
      </c>
      <c r="K208" s="7">
        <f t="shared" si="66"/>
        <v>35.699999999999996</v>
      </c>
      <c r="L208" s="7">
        <f t="shared" si="67"/>
        <v>28</v>
      </c>
      <c r="M208" s="7">
        <f t="shared" si="68"/>
        <v>25.2</v>
      </c>
      <c r="N208" s="7">
        <f t="shared" si="59"/>
        <v>73.109243697479002</v>
      </c>
      <c r="O208" s="7">
        <f t="shared" si="60"/>
        <v>93.214285714285708</v>
      </c>
      <c r="P208" s="4">
        <f t="shared" si="61"/>
        <v>103.57142857142857</v>
      </c>
      <c r="Q208" s="4">
        <f t="shared" si="62"/>
        <v>418.75924369747895</v>
      </c>
      <c r="R208" s="4">
        <f t="shared" si="63"/>
        <v>533.91803571428568</v>
      </c>
      <c r="S208" s="4">
        <f t="shared" si="64"/>
        <v>593.2422619047619</v>
      </c>
    </row>
    <row r="209" spans="1:19" ht="33" hidden="1" customHeight="1" x14ac:dyDescent="0.25">
      <c r="A209" s="5">
        <v>207</v>
      </c>
      <c r="B209" s="5">
        <v>355</v>
      </c>
      <c r="C209" s="6" t="s">
        <v>224</v>
      </c>
      <c r="D209" s="5">
        <v>206</v>
      </c>
      <c r="E209" s="7">
        <v>2.23</v>
      </c>
      <c r="F209" s="7">
        <f t="shared" si="56"/>
        <v>459.38</v>
      </c>
      <c r="G209" s="8">
        <f t="shared" si="65"/>
        <v>459.38</v>
      </c>
      <c r="H209" s="4">
        <f t="shared" si="57"/>
        <v>585.70949999999993</v>
      </c>
      <c r="I209" s="4">
        <f t="shared" si="79"/>
        <v>650.78833333333341</v>
      </c>
      <c r="J209" s="18">
        <v>2610</v>
      </c>
      <c r="K209" s="7">
        <f t="shared" si="66"/>
        <v>35.699999999999996</v>
      </c>
      <c r="L209" s="7">
        <f t="shared" si="67"/>
        <v>28</v>
      </c>
      <c r="M209" s="7">
        <f t="shared" si="68"/>
        <v>25.2</v>
      </c>
      <c r="N209" s="7">
        <f t="shared" si="59"/>
        <v>73.109243697479002</v>
      </c>
      <c r="O209" s="7">
        <f t="shared" si="60"/>
        <v>93.214285714285708</v>
      </c>
      <c r="P209" s="4">
        <f t="shared" si="61"/>
        <v>103.57142857142857</v>
      </c>
      <c r="Q209" s="4">
        <f t="shared" si="62"/>
        <v>532.48924369747897</v>
      </c>
      <c r="R209" s="4">
        <f t="shared" si="63"/>
        <v>678.9237857142856</v>
      </c>
      <c r="S209" s="4">
        <f t="shared" si="64"/>
        <v>754.35976190476197</v>
      </c>
    </row>
    <row r="210" spans="1:19" ht="33" hidden="1" customHeight="1" x14ac:dyDescent="0.25">
      <c r="A210" s="5">
        <v>208</v>
      </c>
      <c r="B210" s="5">
        <v>81</v>
      </c>
      <c r="C210" s="6" t="s">
        <v>225</v>
      </c>
      <c r="D210" s="5">
        <v>223</v>
      </c>
      <c r="E210" s="7">
        <v>2.23</v>
      </c>
      <c r="F210" s="7">
        <f t="shared" si="56"/>
        <v>497.29</v>
      </c>
      <c r="G210" s="8">
        <f t="shared" si="65"/>
        <v>497.29</v>
      </c>
      <c r="H210" s="4">
        <f t="shared" si="57"/>
        <v>634.04475000000002</v>
      </c>
      <c r="I210" s="4">
        <f t="shared" si="79"/>
        <v>704.49416666666673</v>
      </c>
      <c r="J210" s="18">
        <v>1000</v>
      </c>
      <c r="K210" s="7">
        <f t="shared" si="66"/>
        <v>35.699999999999996</v>
      </c>
      <c r="L210" s="7">
        <f t="shared" si="67"/>
        <v>28</v>
      </c>
      <c r="M210" s="7">
        <f t="shared" si="68"/>
        <v>25.2</v>
      </c>
      <c r="N210" s="7">
        <f t="shared" si="59"/>
        <v>28.011204481792721</v>
      </c>
      <c r="O210" s="7">
        <f t="shared" si="60"/>
        <v>35.714285714285715</v>
      </c>
      <c r="P210" s="4">
        <f t="shared" si="61"/>
        <v>39.682539682539684</v>
      </c>
      <c r="Q210" s="4">
        <f t="shared" si="62"/>
        <v>525.30120448179275</v>
      </c>
      <c r="R210" s="4">
        <f t="shared" si="63"/>
        <v>669.75903571428569</v>
      </c>
      <c r="S210" s="4">
        <f t="shared" si="64"/>
        <v>744.17670634920637</v>
      </c>
    </row>
    <row r="211" spans="1:19" ht="33" hidden="1" customHeight="1" x14ac:dyDescent="0.25">
      <c r="A211" s="5">
        <v>209</v>
      </c>
      <c r="B211" s="5">
        <v>213</v>
      </c>
      <c r="C211" s="6" t="s">
        <v>226</v>
      </c>
      <c r="D211" s="5">
        <v>218</v>
      </c>
      <c r="E211" s="7">
        <v>2.23</v>
      </c>
      <c r="F211" s="7">
        <f t="shared" si="56"/>
        <v>486.14</v>
      </c>
      <c r="G211" s="8">
        <f t="shared" si="65"/>
        <v>486.14</v>
      </c>
      <c r="H211" s="4">
        <f t="shared" si="57"/>
        <v>619.82849999999996</v>
      </c>
      <c r="I211" s="4">
        <f t="shared" si="79"/>
        <v>688.69833333333338</v>
      </c>
      <c r="J211" s="18">
        <v>1000</v>
      </c>
      <c r="K211" s="7">
        <f t="shared" si="66"/>
        <v>35.699999999999996</v>
      </c>
      <c r="L211" s="7">
        <f t="shared" si="67"/>
        <v>28</v>
      </c>
      <c r="M211" s="7">
        <f t="shared" si="68"/>
        <v>25.2</v>
      </c>
      <c r="N211" s="7">
        <f t="shared" si="59"/>
        <v>28.011204481792721</v>
      </c>
      <c r="O211" s="7">
        <f t="shared" si="60"/>
        <v>35.714285714285715</v>
      </c>
      <c r="P211" s="4">
        <f t="shared" si="61"/>
        <v>39.682539682539684</v>
      </c>
      <c r="Q211" s="4">
        <f t="shared" si="62"/>
        <v>514.15120448179266</v>
      </c>
      <c r="R211" s="4">
        <f t="shared" si="63"/>
        <v>655.54278571428563</v>
      </c>
      <c r="S211" s="4">
        <f t="shared" si="64"/>
        <v>728.38087301587302</v>
      </c>
    </row>
    <row r="212" spans="1:19" ht="33" hidden="1" customHeight="1" x14ac:dyDescent="0.25">
      <c r="A212" s="5">
        <v>210</v>
      </c>
      <c r="B212" s="5">
        <v>82</v>
      </c>
      <c r="C212" s="6" t="s">
        <v>227</v>
      </c>
      <c r="D212" s="5">
        <v>247</v>
      </c>
      <c r="E212" s="7">
        <v>2.23</v>
      </c>
      <c r="F212" s="7">
        <f t="shared" si="56"/>
        <v>550.80999999999995</v>
      </c>
      <c r="G212" s="8">
        <f t="shared" si="65"/>
        <v>550.80999999999995</v>
      </c>
      <c r="H212" s="4">
        <f t="shared" si="57"/>
        <v>702.28274999999985</v>
      </c>
      <c r="I212" s="4">
        <f t="shared" si="79"/>
        <v>780.31416666666667</v>
      </c>
      <c r="J212" s="18">
        <v>1000</v>
      </c>
      <c r="K212" s="7">
        <f t="shared" si="66"/>
        <v>35.699999999999996</v>
      </c>
      <c r="L212" s="7">
        <f t="shared" si="67"/>
        <v>28</v>
      </c>
      <c r="M212" s="7">
        <f t="shared" si="68"/>
        <v>25.2</v>
      </c>
      <c r="N212" s="7">
        <f t="shared" si="59"/>
        <v>28.011204481792721</v>
      </c>
      <c r="O212" s="7">
        <f t="shared" si="60"/>
        <v>35.714285714285715</v>
      </c>
      <c r="P212" s="4">
        <f t="shared" si="61"/>
        <v>39.682539682539684</v>
      </c>
      <c r="Q212" s="4">
        <f t="shared" si="62"/>
        <v>578.82120448179262</v>
      </c>
      <c r="R212" s="4">
        <f t="shared" si="63"/>
        <v>737.99703571428552</v>
      </c>
      <c r="S212" s="4">
        <f t="shared" si="64"/>
        <v>819.99670634920631</v>
      </c>
    </row>
    <row r="213" spans="1:19" ht="33" hidden="1" customHeight="1" x14ac:dyDescent="0.25">
      <c r="A213" s="5">
        <v>211</v>
      </c>
      <c r="B213" s="5">
        <v>299</v>
      </c>
      <c r="C213" s="6" t="s">
        <v>228</v>
      </c>
      <c r="D213" s="5">
        <v>336</v>
      </c>
      <c r="E213" s="7">
        <v>2.23</v>
      </c>
      <c r="F213" s="7">
        <f t="shared" si="56"/>
        <v>749.28</v>
      </c>
      <c r="G213" s="8">
        <f t="shared" si="65"/>
        <v>749.28</v>
      </c>
      <c r="H213" s="4">
        <f t="shared" si="57"/>
        <v>955.33199999999988</v>
      </c>
      <c r="I213" s="4">
        <f t="shared" si="79"/>
        <v>1061.48</v>
      </c>
      <c r="J213" s="18">
        <v>1000</v>
      </c>
      <c r="K213" s="7">
        <f t="shared" si="66"/>
        <v>35.699999999999996</v>
      </c>
      <c r="L213" s="7">
        <f t="shared" si="67"/>
        <v>28</v>
      </c>
      <c r="M213" s="7">
        <f t="shared" si="68"/>
        <v>25.2</v>
      </c>
      <c r="N213" s="7">
        <f t="shared" si="59"/>
        <v>28.011204481792721</v>
      </c>
      <c r="O213" s="7">
        <f t="shared" si="60"/>
        <v>35.714285714285715</v>
      </c>
      <c r="P213" s="4">
        <f t="shared" si="61"/>
        <v>39.682539682539684</v>
      </c>
      <c r="Q213" s="4">
        <f t="shared" si="62"/>
        <v>777.29120448179265</v>
      </c>
      <c r="R213" s="4">
        <f t="shared" si="63"/>
        <v>991.04628571428555</v>
      </c>
      <c r="S213" s="4">
        <f t="shared" si="64"/>
        <v>1101.1625396825398</v>
      </c>
    </row>
    <row r="214" spans="1:19" ht="33" hidden="1" customHeight="1" x14ac:dyDescent="0.25">
      <c r="A214" s="5">
        <v>212</v>
      </c>
      <c r="B214" s="5">
        <v>83</v>
      </c>
      <c r="C214" s="6" t="s">
        <v>229</v>
      </c>
      <c r="D214" s="5">
        <v>293</v>
      </c>
      <c r="E214" s="7">
        <v>2.23</v>
      </c>
      <c r="F214" s="7">
        <f t="shared" si="56"/>
        <v>653.39</v>
      </c>
      <c r="G214" s="8">
        <f t="shared" si="65"/>
        <v>653.39</v>
      </c>
      <c r="H214" s="4">
        <f t="shared" si="57"/>
        <v>833.07224999999994</v>
      </c>
      <c r="I214" s="4">
        <f t="shared" si="79"/>
        <v>925.63583333333338</v>
      </c>
      <c r="J214" s="18">
        <v>1000</v>
      </c>
      <c r="K214" s="7">
        <f t="shared" si="66"/>
        <v>35.699999999999996</v>
      </c>
      <c r="L214" s="7">
        <f t="shared" si="67"/>
        <v>28</v>
      </c>
      <c r="M214" s="7">
        <f t="shared" si="68"/>
        <v>25.2</v>
      </c>
      <c r="N214" s="7">
        <f t="shared" si="59"/>
        <v>28.011204481792721</v>
      </c>
      <c r="O214" s="7">
        <f t="shared" si="60"/>
        <v>35.714285714285715</v>
      </c>
      <c r="P214" s="4">
        <f t="shared" si="61"/>
        <v>39.682539682539684</v>
      </c>
      <c r="Q214" s="4">
        <f t="shared" si="62"/>
        <v>681.40120448179266</v>
      </c>
      <c r="R214" s="4">
        <f t="shared" si="63"/>
        <v>868.78653571428561</v>
      </c>
      <c r="S214" s="4">
        <f t="shared" si="64"/>
        <v>965.31837301587302</v>
      </c>
    </row>
    <row r="215" spans="1:19" ht="33" hidden="1" customHeight="1" x14ac:dyDescent="0.25">
      <c r="A215" s="5">
        <v>213</v>
      </c>
      <c r="B215" s="5">
        <v>84</v>
      </c>
      <c r="C215" s="6" t="s">
        <v>230</v>
      </c>
      <c r="D215" s="5">
        <v>191</v>
      </c>
      <c r="E215" s="7">
        <v>2.23</v>
      </c>
      <c r="F215" s="7">
        <f t="shared" si="56"/>
        <v>425.93</v>
      </c>
      <c r="G215" s="8">
        <f t="shared" si="65"/>
        <v>425.93</v>
      </c>
      <c r="H215" s="4">
        <f t="shared" si="57"/>
        <v>543.06074999999998</v>
      </c>
      <c r="I215" s="4">
        <f t="shared" si="79"/>
        <v>603.40083333333337</v>
      </c>
      <c r="J215" s="18">
        <v>1000</v>
      </c>
      <c r="K215" s="7">
        <f t="shared" si="66"/>
        <v>35.699999999999996</v>
      </c>
      <c r="L215" s="7">
        <f t="shared" si="67"/>
        <v>28</v>
      </c>
      <c r="M215" s="7">
        <f t="shared" si="68"/>
        <v>25.2</v>
      </c>
      <c r="N215" s="7">
        <f t="shared" si="59"/>
        <v>28.011204481792721</v>
      </c>
      <c r="O215" s="7">
        <f t="shared" si="60"/>
        <v>35.714285714285715</v>
      </c>
      <c r="P215" s="4">
        <f t="shared" si="61"/>
        <v>39.682539682539684</v>
      </c>
      <c r="Q215" s="4">
        <f t="shared" si="62"/>
        <v>453.94120448179274</v>
      </c>
      <c r="R215" s="4">
        <f t="shared" si="63"/>
        <v>578.77503571428565</v>
      </c>
      <c r="S215" s="4">
        <f t="shared" si="64"/>
        <v>643.08337301587301</v>
      </c>
    </row>
    <row r="216" spans="1:19" ht="33" hidden="1" customHeight="1" x14ac:dyDescent="0.25">
      <c r="A216" s="5">
        <v>214</v>
      </c>
      <c r="B216" s="5">
        <v>85</v>
      </c>
      <c r="C216" s="6" t="s">
        <v>231</v>
      </c>
      <c r="D216" s="5">
        <v>243</v>
      </c>
      <c r="E216" s="7">
        <v>2.23</v>
      </c>
      <c r="F216" s="7">
        <f t="shared" si="56"/>
        <v>541.89</v>
      </c>
      <c r="G216" s="8">
        <f t="shared" si="65"/>
        <v>541.89</v>
      </c>
      <c r="H216" s="4">
        <f t="shared" si="57"/>
        <v>690.90974999999992</v>
      </c>
      <c r="I216" s="4">
        <f t="shared" si="79"/>
        <v>767.67750000000001</v>
      </c>
      <c r="J216" s="18">
        <v>1000</v>
      </c>
      <c r="K216" s="7">
        <f t="shared" si="66"/>
        <v>35.699999999999996</v>
      </c>
      <c r="L216" s="7">
        <f t="shared" si="67"/>
        <v>28</v>
      </c>
      <c r="M216" s="7">
        <f t="shared" si="68"/>
        <v>25.2</v>
      </c>
      <c r="N216" s="7">
        <f t="shared" si="59"/>
        <v>28.011204481792721</v>
      </c>
      <c r="O216" s="7">
        <f t="shared" si="60"/>
        <v>35.714285714285715</v>
      </c>
      <c r="P216" s="4">
        <f t="shared" si="61"/>
        <v>39.682539682539684</v>
      </c>
      <c r="Q216" s="4">
        <f t="shared" si="62"/>
        <v>569.90120448179266</v>
      </c>
      <c r="R216" s="4">
        <f t="shared" si="63"/>
        <v>726.62403571428558</v>
      </c>
      <c r="S216" s="4">
        <f t="shared" si="64"/>
        <v>807.36003968253965</v>
      </c>
    </row>
    <row r="217" spans="1:19" ht="33" hidden="1" customHeight="1" x14ac:dyDescent="0.25">
      <c r="A217" s="5">
        <v>215</v>
      </c>
      <c r="B217" s="5">
        <v>86</v>
      </c>
      <c r="C217" s="6" t="s">
        <v>232</v>
      </c>
      <c r="D217" s="5">
        <v>247</v>
      </c>
      <c r="E217" s="7">
        <v>2.23</v>
      </c>
      <c r="F217" s="7">
        <f t="shared" ref="F217:F289" si="80">D217*E217</f>
        <v>550.80999999999995</v>
      </c>
      <c r="G217" s="8">
        <f t="shared" si="65"/>
        <v>550.80999999999995</v>
      </c>
      <c r="H217" s="4">
        <f t="shared" ref="H217:H289" si="81">F217*(51/40)</f>
        <v>702.28274999999985</v>
      </c>
      <c r="I217" s="4">
        <f t="shared" si="79"/>
        <v>780.31416666666667</v>
      </c>
      <c r="J217" s="18">
        <v>1000</v>
      </c>
      <c r="K217" s="7">
        <f t="shared" si="66"/>
        <v>35.699999999999996</v>
      </c>
      <c r="L217" s="7">
        <f t="shared" si="67"/>
        <v>28</v>
      </c>
      <c r="M217" s="7">
        <f t="shared" si="68"/>
        <v>25.2</v>
      </c>
      <c r="N217" s="7">
        <f t="shared" ref="N217:N289" si="82">J217/K217</f>
        <v>28.011204481792721</v>
      </c>
      <c r="O217" s="7">
        <f t="shared" ref="O217:O289" si="83">J217/L217</f>
        <v>35.714285714285715</v>
      </c>
      <c r="P217" s="4">
        <f t="shared" ref="P217:P289" si="84">J217/M217</f>
        <v>39.682539682539684</v>
      </c>
      <c r="Q217" s="4">
        <f t="shared" ref="Q217:Q289" si="85">F217+N217</f>
        <v>578.82120448179262</v>
      </c>
      <c r="R217" s="4">
        <f t="shared" ref="R217:R289" si="86">H217+O217</f>
        <v>737.99703571428552</v>
      </c>
      <c r="S217" s="4">
        <f t="shared" ref="S217:S289" si="87">I217+P217</f>
        <v>819.99670634920631</v>
      </c>
    </row>
    <row r="218" spans="1:19" ht="33" hidden="1" customHeight="1" x14ac:dyDescent="0.25">
      <c r="A218" s="5">
        <v>216</v>
      </c>
      <c r="B218" s="5">
        <v>97</v>
      </c>
      <c r="C218" s="6" t="s">
        <v>233</v>
      </c>
      <c r="D218" s="5">
        <v>203</v>
      </c>
      <c r="E218" s="7">
        <v>2.23</v>
      </c>
      <c r="F218" s="7">
        <f t="shared" si="80"/>
        <v>452.69</v>
      </c>
      <c r="G218" s="8">
        <f t="shared" si="65"/>
        <v>452.69</v>
      </c>
      <c r="H218" s="4">
        <f t="shared" si="81"/>
        <v>577.17975000000001</v>
      </c>
      <c r="I218" s="4">
        <f t="shared" si="79"/>
        <v>641.31083333333333</v>
      </c>
      <c r="J218" s="18">
        <v>1000</v>
      </c>
      <c r="K218" s="7">
        <f t="shared" si="66"/>
        <v>35.699999999999996</v>
      </c>
      <c r="L218" s="7">
        <f t="shared" si="67"/>
        <v>28</v>
      </c>
      <c r="M218" s="7">
        <f t="shared" si="68"/>
        <v>25.2</v>
      </c>
      <c r="N218" s="7">
        <f t="shared" si="82"/>
        <v>28.011204481792721</v>
      </c>
      <c r="O218" s="7">
        <f t="shared" si="83"/>
        <v>35.714285714285715</v>
      </c>
      <c r="P218" s="4">
        <f t="shared" si="84"/>
        <v>39.682539682539684</v>
      </c>
      <c r="Q218" s="4">
        <f t="shared" si="85"/>
        <v>480.70120448179273</v>
      </c>
      <c r="R218" s="4">
        <f t="shared" si="86"/>
        <v>612.89403571428568</v>
      </c>
      <c r="S218" s="4">
        <f t="shared" si="87"/>
        <v>680.99337301587298</v>
      </c>
    </row>
    <row r="219" spans="1:19" ht="33" hidden="1" customHeight="1" x14ac:dyDescent="0.25">
      <c r="A219" s="5">
        <v>217</v>
      </c>
      <c r="B219" s="5">
        <v>138</v>
      </c>
      <c r="C219" s="6" t="s">
        <v>234</v>
      </c>
      <c r="D219" s="5">
        <v>314</v>
      </c>
      <c r="E219" s="7">
        <v>2.23</v>
      </c>
      <c r="F219" s="7">
        <f t="shared" si="80"/>
        <v>700.22</v>
      </c>
      <c r="G219" s="8">
        <f t="shared" ref="G219:G291" si="88">F219*(51/51)</f>
        <v>700.22</v>
      </c>
      <c r="H219" s="4">
        <f t="shared" si="81"/>
        <v>892.78049999999996</v>
      </c>
      <c r="I219" s="4">
        <f t="shared" si="79"/>
        <v>991.97833333333347</v>
      </c>
      <c r="J219" s="18">
        <v>1000</v>
      </c>
      <c r="K219" s="7">
        <f t="shared" ref="K219:K291" si="89">51*0.7</f>
        <v>35.699999999999996</v>
      </c>
      <c r="L219" s="7">
        <f t="shared" ref="L219:L291" si="90">40*0.7</f>
        <v>28</v>
      </c>
      <c r="M219" s="7">
        <f t="shared" ref="M219:M291" si="91">36*0.7</f>
        <v>25.2</v>
      </c>
      <c r="N219" s="7">
        <f t="shared" si="82"/>
        <v>28.011204481792721</v>
      </c>
      <c r="O219" s="7">
        <f t="shared" si="83"/>
        <v>35.714285714285715</v>
      </c>
      <c r="P219" s="4">
        <f t="shared" si="84"/>
        <v>39.682539682539684</v>
      </c>
      <c r="Q219" s="4">
        <f t="shared" si="85"/>
        <v>728.2312044817927</v>
      </c>
      <c r="R219" s="4">
        <f t="shared" si="86"/>
        <v>928.49478571428563</v>
      </c>
      <c r="S219" s="4">
        <f t="shared" si="87"/>
        <v>1031.6608730158732</v>
      </c>
    </row>
    <row r="220" spans="1:19" ht="33" hidden="1" customHeight="1" x14ac:dyDescent="0.25">
      <c r="A220" s="5">
        <v>218</v>
      </c>
      <c r="B220" s="5">
        <v>317</v>
      </c>
      <c r="C220" s="6" t="s">
        <v>235</v>
      </c>
      <c r="D220" s="5">
        <v>383</v>
      </c>
      <c r="E220" s="7">
        <v>2.23</v>
      </c>
      <c r="F220" s="7">
        <f t="shared" si="80"/>
        <v>854.09</v>
      </c>
      <c r="G220" s="8">
        <f t="shared" si="88"/>
        <v>854.09</v>
      </c>
      <c r="H220" s="4">
        <f t="shared" si="81"/>
        <v>1088.9647499999999</v>
      </c>
      <c r="I220" s="4">
        <f t="shared" si="79"/>
        <v>1209.9608333333335</v>
      </c>
      <c r="J220" s="18">
        <v>1000</v>
      </c>
      <c r="K220" s="7">
        <f t="shared" si="89"/>
        <v>35.699999999999996</v>
      </c>
      <c r="L220" s="7">
        <f t="shared" si="90"/>
        <v>28</v>
      </c>
      <c r="M220" s="7">
        <f t="shared" si="91"/>
        <v>25.2</v>
      </c>
      <c r="N220" s="7">
        <f t="shared" si="82"/>
        <v>28.011204481792721</v>
      </c>
      <c r="O220" s="7">
        <f t="shared" si="83"/>
        <v>35.714285714285715</v>
      </c>
      <c r="P220" s="4">
        <f t="shared" si="84"/>
        <v>39.682539682539684</v>
      </c>
      <c r="Q220" s="4">
        <f t="shared" si="85"/>
        <v>882.10120448179271</v>
      </c>
      <c r="R220" s="4">
        <f t="shared" si="86"/>
        <v>1124.6790357142856</v>
      </c>
      <c r="S220" s="4">
        <f t="shared" si="87"/>
        <v>1249.6433730158733</v>
      </c>
    </row>
    <row r="221" spans="1:19" ht="33" hidden="1" customHeight="1" x14ac:dyDescent="0.25">
      <c r="A221" s="5">
        <v>219</v>
      </c>
      <c r="B221" s="5">
        <v>160</v>
      </c>
      <c r="C221" s="6" t="s">
        <v>236</v>
      </c>
      <c r="D221" s="5">
        <v>249</v>
      </c>
      <c r="E221" s="7">
        <v>2.23</v>
      </c>
      <c r="F221" s="7">
        <f t="shared" si="80"/>
        <v>555.27</v>
      </c>
      <c r="G221" s="8">
        <f t="shared" si="88"/>
        <v>555.27</v>
      </c>
      <c r="H221" s="4">
        <f t="shared" si="81"/>
        <v>707.96924999999987</v>
      </c>
      <c r="I221" s="4">
        <f t="shared" si="79"/>
        <v>786.63250000000005</v>
      </c>
      <c r="J221" s="18">
        <v>1000</v>
      </c>
      <c r="K221" s="7">
        <f t="shared" si="89"/>
        <v>35.699999999999996</v>
      </c>
      <c r="L221" s="7">
        <f t="shared" si="90"/>
        <v>28</v>
      </c>
      <c r="M221" s="7">
        <f t="shared" si="91"/>
        <v>25.2</v>
      </c>
      <c r="N221" s="7">
        <f t="shared" si="82"/>
        <v>28.011204481792721</v>
      </c>
      <c r="O221" s="7">
        <f t="shared" si="83"/>
        <v>35.714285714285715</v>
      </c>
      <c r="P221" s="4">
        <f t="shared" si="84"/>
        <v>39.682539682539684</v>
      </c>
      <c r="Q221" s="4">
        <f t="shared" si="85"/>
        <v>583.28120448179266</v>
      </c>
      <c r="R221" s="4">
        <f t="shared" si="86"/>
        <v>743.68353571428554</v>
      </c>
      <c r="S221" s="4">
        <f t="shared" si="87"/>
        <v>826.31503968253969</v>
      </c>
    </row>
    <row r="222" spans="1:19" ht="33" hidden="1" customHeight="1" x14ac:dyDescent="0.25">
      <c r="A222" s="5">
        <v>220</v>
      </c>
      <c r="B222" s="5">
        <v>161</v>
      </c>
      <c r="C222" s="6" t="s">
        <v>237</v>
      </c>
      <c r="D222" s="5">
        <v>123</v>
      </c>
      <c r="E222" s="7">
        <v>2.23</v>
      </c>
      <c r="F222" s="7">
        <f t="shared" si="80"/>
        <v>274.29000000000002</v>
      </c>
      <c r="G222" s="8">
        <f t="shared" si="88"/>
        <v>274.29000000000002</v>
      </c>
      <c r="H222" s="4">
        <f t="shared" si="81"/>
        <v>349.71974999999998</v>
      </c>
      <c r="I222" s="4">
        <f t="shared" si="79"/>
        <v>388.57750000000004</v>
      </c>
      <c r="J222" s="18">
        <v>1000</v>
      </c>
      <c r="K222" s="7">
        <f t="shared" si="89"/>
        <v>35.699999999999996</v>
      </c>
      <c r="L222" s="7">
        <f t="shared" si="90"/>
        <v>28</v>
      </c>
      <c r="M222" s="7">
        <f t="shared" si="91"/>
        <v>25.2</v>
      </c>
      <c r="N222" s="7">
        <f t="shared" si="82"/>
        <v>28.011204481792721</v>
      </c>
      <c r="O222" s="7">
        <f t="shared" si="83"/>
        <v>35.714285714285715</v>
      </c>
      <c r="P222" s="4">
        <f t="shared" si="84"/>
        <v>39.682539682539684</v>
      </c>
      <c r="Q222" s="4">
        <f t="shared" si="85"/>
        <v>302.30120448179275</v>
      </c>
      <c r="R222" s="4">
        <f t="shared" si="86"/>
        <v>385.4340357142857</v>
      </c>
      <c r="S222" s="4">
        <f t="shared" si="87"/>
        <v>428.26003968253974</v>
      </c>
    </row>
    <row r="223" spans="1:19" ht="33" hidden="1" customHeight="1" x14ac:dyDescent="0.25">
      <c r="A223" s="5">
        <v>221</v>
      </c>
      <c r="B223" s="5">
        <v>87</v>
      </c>
      <c r="C223" s="6" t="s">
        <v>238</v>
      </c>
      <c r="D223" s="5">
        <v>268</v>
      </c>
      <c r="E223" s="7">
        <v>2.23</v>
      </c>
      <c r="F223" s="7">
        <f t="shared" si="80"/>
        <v>597.64</v>
      </c>
      <c r="G223" s="8">
        <f t="shared" si="88"/>
        <v>597.64</v>
      </c>
      <c r="H223" s="4">
        <f t="shared" si="81"/>
        <v>761.99099999999999</v>
      </c>
      <c r="I223" s="4">
        <f t="shared" si="79"/>
        <v>846.65666666666664</v>
      </c>
      <c r="J223" s="18">
        <v>1000</v>
      </c>
      <c r="K223" s="7">
        <f t="shared" si="89"/>
        <v>35.699999999999996</v>
      </c>
      <c r="L223" s="7">
        <f t="shared" si="90"/>
        <v>28</v>
      </c>
      <c r="M223" s="7">
        <f t="shared" si="91"/>
        <v>25.2</v>
      </c>
      <c r="N223" s="7">
        <f t="shared" si="82"/>
        <v>28.011204481792721</v>
      </c>
      <c r="O223" s="7">
        <f t="shared" si="83"/>
        <v>35.714285714285715</v>
      </c>
      <c r="P223" s="4">
        <f t="shared" si="84"/>
        <v>39.682539682539684</v>
      </c>
      <c r="Q223" s="4">
        <f t="shared" si="85"/>
        <v>625.65120448179266</v>
      </c>
      <c r="R223" s="4">
        <f t="shared" si="86"/>
        <v>797.70528571428565</v>
      </c>
      <c r="S223" s="4">
        <f t="shared" si="87"/>
        <v>886.33920634920628</v>
      </c>
    </row>
    <row r="224" spans="1:19" ht="33" hidden="1" customHeight="1" x14ac:dyDescent="0.25">
      <c r="A224" s="5">
        <v>222</v>
      </c>
      <c r="B224" s="5">
        <v>88</v>
      </c>
      <c r="C224" s="6" t="s">
        <v>239</v>
      </c>
      <c r="D224" s="5">
        <v>308</v>
      </c>
      <c r="E224" s="7">
        <v>2.23</v>
      </c>
      <c r="F224" s="7">
        <f t="shared" si="80"/>
        <v>686.84</v>
      </c>
      <c r="G224" s="8">
        <f t="shared" si="88"/>
        <v>686.84</v>
      </c>
      <c r="H224" s="4">
        <f t="shared" si="81"/>
        <v>875.721</v>
      </c>
      <c r="I224" s="4">
        <f t="shared" si="79"/>
        <v>973.02333333333343</v>
      </c>
      <c r="J224" s="18">
        <v>1000</v>
      </c>
      <c r="K224" s="7">
        <f t="shared" si="89"/>
        <v>35.699999999999996</v>
      </c>
      <c r="L224" s="7">
        <f t="shared" si="90"/>
        <v>28</v>
      </c>
      <c r="M224" s="7">
        <f t="shared" si="91"/>
        <v>25.2</v>
      </c>
      <c r="N224" s="7">
        <f t="shared" si="82"/>
        <v>28.011204481792721</v>
      </c>
      <c r="O224" s="7">
        <f t="shared" si="83"/>
        <v>35.714285714285715</v>
      </c>
      <c r="P224" s="4">
        <f t="shared" si="84"/>
        <v>39.682539682539684</v>
      </c>
      <c r="Q224" s="4">
        <f t="shared" si="85"/>
        <v>714.85120448179271</v>
      </c>
      <c r="R224" s="4">
        <f t="shared" si="86"/>
        <v>911.43528571428567</v>
      </c>
      <c r="S224" s="4">
        <f t="shared" si="87"/>
        <v>1012.7058730158731</v>
      </c>
    </row>
    <row r="225" spans="1:19" ht="33" hidden="1" customHeight="1" x14ac:dyDescent="0.25">
      <c r="A225" s="5">
        <v>223</v>
      </c>
      <c r="B225" s="5">
        <v>89</v>
      </c>
      <c r="C225" s="6" t="s">
        <v>240</v>
      </c>
      <c r="D225" s="5">
        <v>350</v>
      </c>
      <c r="E225" s="7">
        <v>2.23</v>
      </c>
      <c r="F225" s="7">
        <f t="shared" si="80"/>
        <v>780.5</v>
      </c>
      <c r="G225" s="8">
        <f t="shared" si="88"/>
        <v>780.5</v>
      </c>
      <c r="H225" s="4">
        <f t="shared" si="81"/>
        <v>995.13749999999993</v>
      </c>
      <c r="I225" s="4">
        <f t="shared" si="79"/>
        <v>1105.7083333333335</v>
      </c>
      <c r="J225" s="18">
        <v>1000</v>
      </c>
      <c r="K225" s="7">
        <f t="shared" si="89"/>
        <v>35.699999999999996</v>
      </c>
      <c r="L225" s="7">
        <f t="shared" si="90"/>
        <v>28</v>
      </c>
      <c r="M225" s="7">
        <f t="shared" si="91"/>
        <v>25.2</v>
      </c>
      <c r="N225" s="7">
        <f t="shared" si="82"/>
        <v>28.011204481792721</v>
      </c>
      <c r="O225" s="7">
        <f t="shared" si="83"/>
        <v>35.714285714285715</v>
      </c>
      <c r="P225" s="4">
        <f t="shared" si="84"/>
        <v>39.682539682539684</v>
      </c>
      <c r="Q225" s="4">
        <f t="shared" si="85"/>
        <v>808.51120448179267</v>
      </c>
      <c r="R225" s="4">
        <f t="shared" si="86"/>
        <v>1030.8517857142856</v>
      </c>
      <c r="S225" s="4">
        <f t="shared" si="87"/>
        <v>1145.3908730158732</v>
      </c>
    </row>
    <row r="226" spans="1:19" ht="33" hidden="1" customHeight="1" x14ac:dyDescent="0.25">
      <c r="A226" s="5">
        <v>224</v>
      </c>
      <c r="B226" s="5">
        <v>100</v>
      </c>
      <c r="C226" s="6" t="s">
        <v>241</v>
      </c>
      <c r="D226" s="5">
        <v>410</v>
      </c>
      <c r="E226" s="7">
        <v>2.23</v>
      </c>
      <c r="F226" s="7">
        <f t="shared" si="80"/>
        <v>914.3</v>
      </c>
      <c r="G226" s="8">
        <f t="shared" si="88"/>
        <v>914.3</v>
      </c>
      <c r="H226" s="4">
        <f t="shared" si="81"/>
        <v>1165.7324999999998</v>
      </c>
      <c r="I226" s="4">
        <f t="shared" si="79"/>
        <v>1295.2583333333334</v>
      </c>
      <c r="J226" s="18">
        <v>1000</v>
      </c>
      <c r="K226" s="7">
        <f t="shared" si="89"/>
        <v>35.699999999999996</v>
      </c>
      <c r="L226" s="7">
        <f t="shared" si="90"/>
        <v>28</v>
      </c>
      <c r="M226" s="7">
        <f t="shared" si="91"/>
        <v>25.2</v>
      </c>
      <c r="N226" s="7">
        <f t="shared" si="82"/>
        <v>28.011204481792721</v>
      </c>
      <c r="O226" s="7">
        <f t="shared" si="83"/>
        <v>35.714285714285715</v>
      </c>
      <c r="P226" s="4">
        <f t="shared" si="84"/>
        <v>39.682539682539684</v>
      </c>
      <c r="Q226" s="4">
        <f t="shared" si="85"/>
        <v>942.31120448179263</v>
      </c>
      <c r="R226" s="4">
        <f t="shared" si="86"/>
        <v>1201.4467857142856</v>
      </c>
      <c r="S226" s="4">
        <f t="shared" si="87"/>
        <v>1334.9408730158732</v>
      </c>
    </row>
    <row r="227" spans="1:19" ht="33" hidden="1" customHeight="1" x14ac:dyDescent="0.25">
      <c r="A227" s="5">
        <v>225</v>
      </c>
      <c r="B227" s="5">
        <v>215</v>
      </c>
      <c r="C227" s="6" t="s">
        <v>242</v>
      </c>
      <c r="D227" s="5">
        <v>434</v>
      </c>
      <c r="E227" s="7">
        <v>2.23</v>
      </c>
      <c r="F227" s="7">
        <f t="shared" si="80"/>
        <v>967.81999999999994</v>
      </c>
      <c r="G227" s="8">
        <f t="shared" si="88"/>
        <v>967.81999999999994</v>
      </c>
      <c r="H227" s="4">
        <f t="shared" si="81"/>
        <v>1233.9704999999999</v>
      </c>
      <c r="I227" s="4">
        <f t="shared" si="79"/>
        <v>1371.0783333333334</v>
      </c>
      <c r="J227" s="18">
        <v>1000</v>
      </c>
      <c r="K227" s="7">
        <f t="shared" si="89"/>
        <v>35.699999999999996</v>
      </c>
      <c r="L227" s="7">
        <f t="shared" si="90"/>
        <v>28</v>
      </c>
      <c r="M227" s="7">
        <f t="shared" si="91"/>
        <v>25.2</v>
      </c>
      <c r="N227" s="7">
        <f t="shared" si="82"/>
        <v>28.011204481792721</v>
      </c>
      <c r="O227" s="7">
        <f t="shared" si="83"/>
        <v>35.714285714285715</v>
      </c>
      <c r="P227" s="4">
        <f t="shared" si="84"/>
        <v>39.682539682539684</v>
      </c>
      <c r="Q227" s="4">
        <f t="shared" si="85"/>
        <v>995.83120448179261</v>
      </c>
      <c r="R227" s="4">
        <f t="shared" si="86"/>
        <v>1269.6847857142857</v>
      </c>
      <c r="S227" s="4">
        <f t="shared" si="87"/>
        <v>1410.7608730158731</v>
      </c>
    </row>
    <row r="228" spans="1:19" ht="33" hidden="1" customHeight="1" x14ac:dyDescent="0.25">
      <c r="A228" s="5">
        <v>226</v>
      </c>
      <c r="B228" s="5">
        <v>90</v>
      </c>
      <c r="C228" s="6" t="s">
        <v>243</v>
      </c>
      <c r="D228" s="5">
        <v>353</v>
      </c>
      <c r="E228" s="7">
        <v>2.23</v>
      </c>
      <c r="F228" s="7">
        <f t="shared" si="80"/>
        <v>787.18999999999994</v>
      </c>
      <c r="G228" s="8">
        <f t="shared" si="88"/>
        <v>787.18999999999994</v>
      </c>
      <c r="H228" s="4">
        <f t="shared" si="81"/>
        <v>1003.6672499999999</v>
      </c>
      <c r="I228" s="4">
        <f t="shared" si="79"/>
        <v>1115.1858333333332</v>
      </c>
      <c r="J228" s="18">
        <v>1000</v>
      </c>
      <c r="K228" s="7">
        <f t="shared" si="89"/>
        <v>35.699999999999996</v>
      </c>
      <c r="L228" s="7">
        <f t="shared" si="90"/>
        <v>28</v>
      </c>
      <c r="M228" s="7">
        <f t="shared" si="91"/>
        <v>25.2</v>
      </c>
      <c r="N228" s="7">
        <f t="shared" si="82"/>
        <v>28.011204481792721</v>
      </c>
      <c r="O228" s="7">
        <f t="shared" si="83"/>
        <v>35.714285714285715</v>
      </c>
      <c r="P228" s="4">
        <f t="shared" si="84"/>
        <v>39.682539682539684</v>
      </c>
      <c r="Q228" s="4">
        <f t="shared" si="85"/>
        <v>815.20120448179262</v>
      </c>
      <c r="R228" s="4">
        <f t="shared" si="86"/>
        <v>1039.3815357142855</v>
      </c>
      <c r="S228" s="4">
        <f t="shared" si="87"/>
        <v>1154.868373015873</v>
      </c>
    </row>
    <row r="229" spans="1:19" ht="33" hidden="1" customHeight="1" x14ac:dyDescent="0.25">
      <c r="A229" s="5">
        <v>227</v>
      </c>
      <c r="B229" s="5">
        <v>102</v>
      </c>
      <c r="C229" s="6" t="s">
        <v>244</v>
      </c>
      <c r="D229" s="5">
        <v>367</v>
      </c>
      <c r="E229" s="7">
        <v>2.23</v>
      </c>
      <c r="F229" s="7">
        <f t="shared" si="80"/>
        <v>818.41</v>
      </c>
      <c r="G229" s="8">
        <f t="shared" si="88"/>
        <v>818.41</v>
      </c>
      <c r="H229" s="4">
        <f t="shared" si="81"/>
        <v>1043.4727499999999</v>
      </c>
      <c r="I229" s="4">
        <f t="shared" si="79"/>
        <v>1159.4141666666667</v>
      </c>
      <c r="J229" s="18">
        <v>1000</v>
      </c>
      <c r="K229" s="7">
        <f t="shared" si="89"/>
        <v>35.699999999999996</v>
      </c>
      <c r="L229" s="7">
        <f t="shared" si="90"/>
        <v>28</v>
      </c>
      <c r="M229" s="7">
        <f t="shared" si="91"/>
        <v>25.2</v>
      </c>
      <c r="N229" s="7">
        <f t="shared" si="82"/>
        <v>28.011204481792721</v>
      </c>
      <c r="O229" s="7">
        <f t="shared" si="83"/>
        <v>35.714285714285715</v>
      </c>
      <c r="P229" s="4">
        <f t="shared" si="84"/>
        <v>39.682539682539684</v>
      </c>
      <c r="Q229" s="4">
        <f t="shared" si="85"/>
        <v>846.42120448179264</v>
      </c>
      <c r="R229" s="4">
        <f t="shared" si="86"/>
        <v>1079.1870357142857</v>
      </c>
      <c r="S229" s="4">
        <f t="shared" si="87"/>
        <v>1199.0967063492064</v>
      </c>
    </row>
    <row r="230" spans="1:19" ht="33" hidden="1" customHeight="1" x14ac:dyDescent="0.25">
      <c r="A230" s="5">
        <v>228</v>
      </c>
      <c r="B230" s="5">
        <v>105</v>
      </c>
      <c r="C230" s="6" t="s">
        <v>245</v>
      </c>
      <c r="D230" s="5">
        <v>352</v>
      </c>
      <c r="E230" s="7">
        <v>2.23</v>
      </c>
      <c r="F230" s="7">
        <f t="shared" si="80"/>
        <v>784.96</v>
      </c>
      <c r="G230" s="8">
        <f t="shared" si="88"/>
        <v>784.96</v>
      </c>
      <c r="H230" s="4">
        <f t="shared" si="81"/>
        <v>1000.824</v>
      </c>
      <c r="I230" s="4">
        <f t="shared" si="79"/>
        <v>1112.0266666666669</v>
      </c>
      <c r="J230" s="18">
        <v>1000</v>
      </c>
      <c r="K230" s="7">
        <f t="shared" si="89"/>
        <v>35.699999999999996</v>
      </c>
      <c r="L230" s="7">
        <f t="shared" si="90"/>
        <v>28</v>
      </c>
      <c r="M230" s="7">
        <f t="shared" si="91"/>
        <v>25.2</v>
      </c>
      <c r="N230" s="7">
        <f t="shared" si="82"/>
        <v>28.011204481792721</v>
      </c>
      <c r="O230" s="7">
        <f t="shared" si="83"/>
        <v>35.714285714285715</v>
      </c>
      <c r="P230" s="4">
        <f t="shared" si="84"/>
        <v>39.682539682539684</v>
      </c>
      <c r="Q230" s="4">
        <f t="shared" si="85"/>
        <v>812.97120448179271</v>
      </c>
      <c r="R230" s="4">
        <f t="shared" si="86"/>
        <v>1036.5382857142856</v>
      </c>
      <c r="S230" s="4">
        <f t="shared" si="87"/>
        <v>1151.7092063492066</v>
      </c>
    </row>
    <row r="231" spans="1:19" ht="33" hidden="1" customHeight="1" x14ac:dyDescent="0.25">
      <c r="A231" s="5">
        <v>229</v>
      </c>
      <c r="B231" s="5">
        <v>386</v>
      </c>
      <c r="C231" s="6" t="s">
        <v>246</v>
      </c>
      <c r="D231" s="5">
        <v>380</v>
      </c>
      <c r="E231" s="7">
        <v>2.23</v>
      </c>
      <c r="F231" s="7">
        <f t="shared" si="80"/>
        <v>847.4</v>
      </c>
      <c r="G231" s="8">
        <f t="shared" si="88"/>
        <v>847.4</v>
      </c>
      <c r="H231" s="4">
        <f t="shared" si="81"/>
        <v>1080.4349999999999</v>
      </c>
      <c r="I231" s="4">
        <f t="shared" si="79"/>
        <v>1200.4833333333333</v>
      </c>
      <c r="J231" s="18">
        <v>1000</v>
      </c>
      <c r="K231" s="7">
        <f t="shared" si="89"/>
        <v>35.699999999999996</v>
      </c>
      <c r="L231" s="7">
        <f t="shared" si="90"/>
        <v>28</v>
      </c>
      <c r="M231" s="7">
        <f t="shared" si="91"/>
        <v>25.2</v>
      </c>
      <c r="N231" s="7">
        <f t="shared" si="82"/>
        <v>28.011204481792721</v>
      </c>
      <c r="O231" s="7">
        <f t="shared" si="83"/>
        <v>35.714285714285715</v>
      </c>
      <c r="P231" s="4">
        <f t="shared" si="84"/>
        <v>39.682539682539684</v>
      </c>
      <c r="Q231" s="4">
        <f t="shared" si="85"/>
        <v>875.41120448179265</v>
      </c>
      <c r="R231" s="4">
        <f t="shared" si="86"/>
        <v>1116.1492857142857</v>
      </c>
      <c r="S231" s="4">
        <f t="shared" si="87"/>
        <v>1240.1658730158731</v>
      </c>
    </row>
    <row r="232" spans="1:19" ht="33" hidden="1" customHeight="1" x14ac:dyDescent="0.25">
      <c r="A232" s="5">
        <v>230</v>
      </c>
      <c r="B232" s="5">
        <v>91</v>
      </c>
      <c r="C232" s="6" t="s">
        <v>247</v>
      </c>
      <c r="D232" s="5">
        <v>330</v>
      </c>
      <c r="E232" s="7">
        <v>2.23</v>
      </c>
      <c r="F232" s="7">
        <f t="shared" si="80"/>
        <v>735.9</v>
      </c>
      <c r="G232" s="8">
        <f t="shared" si="88"/>
        <v>735.9</v>
      </c>
      <c r="H232" s="4">
        <f t="shared" si="81"/>
        <v>938.27249999999992</v>
      </c>
      <c r="I232" s="4">
        <f t="shared" si="79"/>
        <v>1042.5250000000001</v>
      </c>
      <c r="J232" s="18">
        <v>1000</v>
      </c>
      <c r="K232" s="7">
        <f t="shared" si="89"/>
        <v>35.699999999999996</v>
      </c>
      <c r="L232" s="7">
        <f t="shared" si="90"/>
        <v>28</v>
      </c>
      <c r="M232" s="7">
        <f t="shared" si="91"/>
        <v>25.2</v>
      </c>
      <c r="N232" s="7">
        <f t="shared" si="82"/>
        <v>28.011204481792721</v>
      </c>
      <c r="O232" s="7">
        <f t="shared" si="83"/>
        <v>35.714285714285715</v>
      </c>
      <c r="P232" s="4">
        <f t="shared" si="84"/>
        <v>39.682539682539684</v>
      </c>
      <c r="Q232" s="4">
        <f t="shared" si="85"/>
        <v>763.91120448179265</v>
      </c>
      <c r="R232" s="4">
        <f t="shared" si="86"/>
        <v>973.98678571428559</v>
      </c>
      <c r="S232" s="4">
        <f t="shared" si="87"/>
        <v>1082.2075396825398</v>
      </c>
    </row>
    <row r="233" spans="1:19" ht="33" hidden="1" customHeight="1" x14ac:dyDescent="0.25">
      <c r="A233" s="5">
        <v>231</v>
      </c>
      <c r="B233" s="5">
        <v>106</v>
      </c>
      <c r="C233" s="6" t="s">
        <v>248</v>
      </c>
      <c r="D233" s="5">
        <v>268</v>
      </c>
      <c r="E233" s="7">
        <v>2.23</v>
      </c>
      <c r="F233" s="7">
        <f t="shared" si="80"/>
        <v>597.64</v>
      </c>
      <c r="G233" s="8">
        <f t="shared" si="88"/>
        <v>597.64</v>
      </c>
      <c r="H233" s="4">
        <f t="shared" si="81"/>
        <v>761.99099999999999</v>
      </c>
      <c r="I233" s="4">
        <f t="shared" si="79"/>
        <v>846.65666666666664</v>
      </c>
      <c r="J233" s="18">
        <v>1000</v>
      </c>
      <c r="K233" s="7">
        <f t="shared" si="89"/>
        <v>35.699999999999996</v>
      </c>
      <c r="L233" s="7">
        <f t="shared" si="90"/>
        <v>28</v>
      </c>
      <c r="M233" s="7">
        <f t="shared" si="91"/>
        <v>25.2</v>
      </c>
      <c r="N233" s="7">
        <f t="shared" si="82"/>
        <v>28.011204481792721</v>
      </c>
      <c r="O233" s="7">
        <f t="shared" si="83"/>
        <v>35.714285714285715</v>
      </c>
      <c r="P233" s="4">
        <f t="shared" si="84"/>
        <v>39.682539682539684</v>
      </c>
      <c r="Q233" s="4">
        <f t="shared" si="85"/>
        <v>625.65120448179266</v>
      </c>
      <c r="R233" s="4">
        <f t="shared" si="86"/>
        <v>797.70528571428565</v>
      </c>
      <c r="S233" s="4">
        <f t="shared" si="87"/>
        <v>886.33920634920628</v>
      </c>
    </row>
    <row r="234" spans="1:19" ht="33" hidden="1" customHeight="1" x14ac:dyDescent="0.25">
      <c r="A234" s="5">
        <v>232</v>
      </c>
      <c r="B234" s="5">
        <v>92</v>
      </c>
      <c r="C234" s="6" t="s">
        <v>249</v>
      </c>
      <c r="D234" s="5">
        <v>387</v>
      </c>
      <c r="E234" s="7">
        <v>2.23</v>
      </c>
      <c r="F234" s="7">
        <f t="shared" si="80"/>
        <v>863.01</v>
      </c>
      <c r="G234" s="8">
        <f t="shared" si="88"/>
        <v>863.01</v>
      </c>
      <c r="H234" s="4">
        <f t="shared" si="81"/>
        <v>1100.3377499999999</v>
      </c>
      <c r="I234" s="4">
        <f t="shared" si="79"/>
        <v>1222.5975000000001</v>
      </c>
      <c r="J234" s="18">
        <v>1000</v>
      </c>
      <c r="K234" s="7">
        <f t="shared" si="89"/>
        <v>35.699999999999996</v>
      </c>
      <c r="L234" s="7">
        <f t="shared" si="90"/>
        <v>28</v>
      </c>
      <c r="M234" s="7">
        <f t="shared" si="91"/>
        <v>25.2</v>
      </c>
      <c r="N234" s="7">
        <f t="shared" si="82"/>
        <v>28.011204481792721</v>
      </c>
      <c r="O234" s="7">
        <f t="shared" si="83"/>
        <v>35.714285714285715</v>
      </c>
      <c r="P234" s="4">
        <f t="shared" si="84"/>
        <v>39.682539682539684</v>
      </c>
      <c r="Q234" s="4">
        <f t="shared" si="85"/>
        <v>891.02120448179267</v>
      </c>
      <c r="R234" s="4">
        <f t="shared" si="86"/>
        <v>1136.0520357142857</v>
      </c>
      <c r="S234" s="4">
        <f t="shared" si="87"/>
        <v>1262.2800396825398</v>
      </c>
    </row>
    <row r="235" spans="1:19" ht="33" hidden="1" customHeight="1" x14ac:dyDescent="0.25">
      <c r="A235" s="5">
        <v>233</v>
      </c>
      <c r="B235" s="5">
        <v>93</v>
      </c>
      <c r="C235" s="6" t="s">
        <v>250</v>
      </c>
      <c r="D235" s="5">
        <v>424</v>
      </c>
      <c r="E235" s="7">
        <v>2.23</v>
      </c>
      <c r="F235" s="7">
        <f t="shared" si="80"/>
        <v>945.52</v>
      </c>
      <c r="G235" s="8">
        <f t="shared" si="88"/>
        <v>945.52</v>
      </c>
      <c r="H235" s="4">
        <f t="shared" si="81"/>
        <v>1205.5379999999998</v>
      </c>
      <c r="I235" s="4">
        <f t="shared" si="79"/>
        <v>1339.4866666666667</v>
      </c>
      <c r="J235" s="18">
        <v>1000</v>
      </c>
      <c r="K235" s="7">
        <f t="shared" si="89"/>
        <v>35.699999999999996</v>
      </c>
      <c r="L235" s="7">
        <f t="shared" si="90"/>
        <v>28</v>
      </c>
      <c r="M235" s="7">
        <f t="shared" si="91"/>
        <v>25.2</v>
      </c>
      <c r="N235" s="7">
        <f t="shared" si="82"/>
        <v>28.011204481792721</v>
      </c>
      <c r="O235" s="7">
        <f t="shared" si="83"/>
        <v>35.714285714285715</v>
      </c>
      <c r="P235" s="4">
        <f t="shared" si="84"/>
        <v>39.682539682539684</v>
      </c>
      <c r="Q235" s="4">
        <f t="shared" si="85"/>
        <v>973.53120448179266</v>
      </c>
      <c r="R235" s="4">
        <f t="shared" si="86"/>
        <v>1241.2522857142856</v>
      </c>
      <c r="S235" s="4">
        <f t="shared" si="87"/>
        <v>1379.1692063492064</v>
      </c>
    </row>
    <row r="236" spans="1:19" ht="33" hidden="1" customHeight="1" x14ac:dyDescent="0.25">
      <c r="A236" s="5">
        <v>234</v>
      </c>
      <c r="B236" s="5">
        <v>385</v>
      </c>
      <c r="C236" s="6" t="s">
        <v>409</v>
      </c>
      <c r="D236" s="5">
        <v>438</v>
      </c>
      <c r="E236" s="7">
        <v>2.23</v>
      </c>
      <c r="F236" s="7">
        <f t="shared" si="80"/>
        <v>976.74</v>
      </c>
      <c r="G236" s="8">
        <f t="shared" si="88"/>
        <v>976.74</v>
      </c>
      <c r="H236" s="4">
        <f t="shared" si="81"/>
        <v>1245.3434999999999</v>
      </c>
      <c r="I236" s="4">
        <f t="shared" si="79"/>
        <v>1383.7150000000001</v>
      </c>
      <c r="J236" s="18">
        <v>1000</v>
      </c>
      <c r="K236" s="7">
        <f t="shared" si="89"/>
        <v>35.699999999999996</v>
      </c>
      <c r="L236" s="7">
        <f t="shared" si="90"/>
        <v>28</v>
      </c>
      <c r="M236" s="7">
        <f t="shared" si="91"/>
        <v>25.2</v>
      </c>
      <c r="N236" s="7">
        <f t="shared" si="82"/>
        <v>28.011204481792721</v>
      </c>
      <c r="O236" s="7">
        <f t="shared" si="83"/>
        <v>35.714285714285715</v>
      </c>
      <c r="P236" s="4">
        <f t="shared" si="84"/>
        <v>39.682539682539684</v>
      </c>
      <c r="Q236" s="4">
        <f t="shared" si="85"/>
        <v>1004.7512044817927</v>
      </c>
      <c r="R236" s="4">
        <f t="shared" si="86"/>
        <v>1281.0577857142857</v>
      </c>
      <c r="S236" s="4">
        <f t="shared" si="87"/>
        <v>1423.3975396825399</v>
      </c>
    </row>
    <row r="237" spans="1:19" ht="33" hidden="1" customHeight="1" x14ac:dyDescent="0.25">
      <c r="A237" s="5">
        <v>235</v>
      </c>
      <c r="B237" s="5">
        <v>187</v>
      </c>
      <c r="C237" s="6" t="s">
        <v>251</v>
      </c>
      <c r="D237" s="5">
        <v>377</v>
      </c>
      <c r="E237" s="7">
        <v>2.23</v>
      </c>
      <c r="F237" s="7">
        <f t="shared" si="80"/>
        <v>840.71</v>
      </c>
      <c r="G237" s="8">
        <f t="shared" si="88"/>
        <v>840.71</v>
      </c>
      <c r="H237" s="4">
        <f t="shared" si="81"/>
        <v>1071.90525</v>
      </c>
      <c r="I237" s="4">
        <f t="shared" si="79"/>
        <v>1191.0058333333334</v>
      </c>
      <c r="J237" s="18">
        <v>1000</v>
      </c>
      <c r="K237" s="7">
        <f t="shared" si="89"/>
        <v>35.699999999999996</v>
      </c>
      <c r="L237" s="7">
        <f t="shared" si="90"/>
        <v>28</v>
      </c>
      <c r="M237" s="7">
        <f t="shared" si="91"/>
        <v>25.2</v>
      </c>
      <c r="N237" s="7">
        <f t="shared" si="82"/>
        <v>28.011204481792721</v>
      </c>
      <c r="O237" s="7">
        <f t="shared" si="83"/>
        <v>35.714285714285715</v>
      </c>
      <c r="P237" s="4">
        <f t="shared" si="84"/>
        <v>39.682539682539684</v>
      </c>
      <c r="Q237" s="4">
        <f t="shared" si="85"/>
        <v>868.72120448179271</v>
      </c>
      <c r="R237" s="4">
        <f t="shared" si="86"/>
        <v>1107.6195357142858</v>
      </c>
      <c r="S237" s="4">
        <f t="shared" si="87"/>
        <v>1230.6883730158731</v>
      </c>
    </row>
    <row r="238" spans="1:19" ht="33" hidden="1" customHeight="1" x14ac:dyDescent="0.25">
      <c r="A238" s="5">
        <v>236</v>
      </c>
      <c r="B238" s="5">
        <v>99</v>
      </c>
      <c r="C238" s="6" t="s">
        <v>252</v>
      </c>
      <c r="D238" s="5">
        <v>358</v>
      </c>
      <c r="E238" s="7">
        <v>2.23</v>
      </c>
      <c r="F238" s="7">
        <f t="shared" si="80"/>
        <v>798.34</v>
      </c>
      <c r="G238" s="8">
        <f t="shared" si="88"/>
        <v>798.34</v>
      </c>
      <c r="H238" s="4">
        <f t="shared" si="81"/>
        <v>1017.8835</v>
      </c>
      <c r="I238" s="4">
        <f t="shared" si="79"/>
        <v>1130.9816666666668</v>
      </c>
      <c r="J238" s="18">
        <v>1000</v>
      </c>
      <c r="K238" s="7">
        <f t="shared" si="89"/>
        <v>35.699999999999996</v>
      </c>
      <c r="L238" s="7">
        <f t="shared" si="90"/>
        <v>28</v>
      </c>
      <c r="M238" s="7">
        <f t="shared" si="91"/>
        <v>25.2</v>
      </c>
      <c r="N238" s="7">
        <f t="shared" si="82"/>
        <v>28.011204481792721</v>
      </c>
      <c r="O238" s="7">
        <f t="shared" si="83"/>
        <v>35.714285714285715</v>
      </c>
      <c r="P238" s="4">
        <f t="shared" si="84"/>
        <v>39.682539682539684</v>
      </c>
      <c r="Q238" s="4">
        <f t="shared" si="85"/>
        <v>826.35120448179271</v>
      </c>
      <c r="R238" s="4">
        <f t="shared" si="86"/>
        <v>1053.5977857142857</v>
      </c>
      <c r="S238" s="4">
        <f t="shared" si="87"/>
        <v>1170.6642063492066</v>
      </c>
    </row>
    <row r="239" spans="1:19" ht="33" hidden="1" customHeight="1" x14ac:dyDescent="0.25">
      <c r="A239" s="5">
        <v>237</v>
      </c>
      <c r="B239" s="5">
        <v>103</v>
      </c>
      <c r="C239" s="6" t="s">
        <v>253</v>
      </c>
      <c r="D239" s="5">
        <v>338</v>
      </c>
      <c r="E239" s="7">
        <v>2.23</v>
      </c>
      <c r="F239" s="7">
        <f t="shared" si="80"/>
        <v>753.74</v>
      </c>
      <c r="G239" s="8">
        <f t="shared" si="88"/>
        <v>753.74</v>
      </c>
      <c r="H239" s="4">
        <f t="shared" si="81"/>
        <v>961.0184999999999</v>
      </c>
      <c r="I239" s="4">
        <f t="shared" si="79"/>
        <v>1067.7983333333334</v>
      </c>
      <c r="J239" s="18">
        <v>1000</v>
      </c>
      <c r="K239" s="7">
        <f t="shared" si="89"/>
        <v>35.699999999999996</v>
      </c>
      <c r="L239" s="7">
        <f t="shared" si="90"/>
        <v>28</v>
      </c>
      <c r="M239" s="7">
        <f t="shared" si="91"/>
        <v>25.2</v>
      </c>
      <c r="N239" s="7">
        <f t="shared" si="82"/>
        <v>28.011204481792721</v>
      </c>
      <c r="O239" s="7">
        <f t="shared" si="83"/>
        <v>35.714285714285715</v>
      </c>
      <c r="P239" s="4">
        <f t="shared" si="84"/>
        <v>39.682539682539684</v>
      </c>
      <c r="Q239" s="4">
        <f t="shared" si="85"/>
        <v>781.75120448179268</v>
      </c>
      <c r="R239" s="4">
        <f t="shared" si="86"/>
        <v>996.73278571428557</v>
      </c>
      <c r="S239" s="4">
        <f t="shared" si="87"/>
        <v>1107.4808730158732</v>
      </c>
    </row>
    <row r="240" spans="1:19" ht="33" customHeight="1" x14ac:dyDescent="0.25">
      <c r="A240" s="5">
        <v>238</v>
      </c>
      <c r="B240" s="2" t="s">
        <v>7</v>
      </c>
      <c r="C240" s="16" t="s">
        <v>45</v>
      </c>
      <c r="D240" s="1">
        <v>109</v>
      </c>
      <c r="E240" s="7">
        <v>2.23</v>
      </c>
      <c r="F240" s="7">
        <f t="shared" ref="F240:F248" si="92">D240*E240</f>
        <v>243.07</v>
      </c>
      <c r="G240" s="8">
        <f t="shared" ref="G240:G248" si="93">F240*(51/51)</f>
        <v>243.07</v>
      </c>
      <c r="H240" s="4">
        <f t="shared" ref="H240:H248" si="94">F240*(51/40)</f>
        <v>309.91424999999998</v>
      </c>
      <c r="I240" s="4">
        <f t="shared" ref="I240:I248" si="95">F240*(51/36)</f>
        <v>344.34916666666669</v>
      </c>
      <c r="J240" s="18">
        <v>2520</v>
      </c>
      <c r="K240" s="7">
        <f t="shared" si="89"/>
        <v>35.699999999999996</v>
      </c>
      <c r="L240" s="7">
        <f t="shared" si="90"/>
        <v>28</v>
      </c>
      <c r="M240" s="7">
        <f t="shared" si="91"/>
        <v>25.2</v>
      </c>
      <c r="N240" s="7">
        <f t="shared" ref="N240:N248" si="96">J240/K240</f>
        <v>70.588235294117652</v>
      </c>
      <c r="O240" s="7">
        <f t="shared" ref="O240:O248" si="97">J240/L240</f>
        <v>90</v>
      </c>
      <c r="P240" s="4">
        <f t="shared" ref="P240:P248" si="98">J240/M240</f>
        <v>100</v>
      </c>
      <c r="Q240" s="4">
        <f t="shared" ref="Q240:Q248" si="99">F240+N240</f>
        <v>313.65823529411762</v>
      </c>
      <c r="R240" s="4">
        <f t="shared" ref="R240:R248" si="100">H240+O240</f>
        <v>399.91424999999998</v>
      </c>
      <c r="S240" s="4">
        <f t="shared" ref="S240:S248" si="101">I240+P240</f>
        <v>444.34916666666669</v>
      </c>
    </row>
    <row r="241" spans="1:19" ht="33" customHeight="1" x14ac:dyDescent="0.25">
      <c r="A241" s="5">
        <v>239</v>
      </c>
      <c r="B241" s="2" t="s">
        <v>8</v>
      </c>
      <c r="C241" s="16" t="s">
        <v>69</v>
      </c>
      <c r="D241" s="1">
        <v>158</v>
      </c>
      <c r="E241" s="7">
        <v>2.23</v>
      </c>
      <c r="F241" s="7">
        <f t="shared" si="92"/>
        <v>352.34</v>
      </c>
      <c r="G241" s="8">
        <f t="shared" si="93"/>
        <v>352.34</v>
      </c>
      <c r="H241" s="4">
        <f t="shared" si="94"/>
        <v>449.23349999999994</v>
      </c>
      <c r="I241" s="4">
        <f t="shared" si="95"/>
        <v>499.14833333333331</v>
      </c>
      <c r="J241" s="18">
        <v>2520</v>
      </c>
      <c r="K241" s="7">
        <f t="shared" si="89"/>
        <v>35.699999999999996</v>
      </c>
      <c r="L241" s="7">
        <f t="shared" si="90"/>
        <v>28</v>
      </c>
      <c r="M241" s="7">
        <f t="shared" si="91"/>
        <v>25.2</v>
      </c>
      <c r="N241" s="7">
        <f t="shared" si="96"/>
        <v>70.588235294117652</v>
      </c>
      <c r="O241" s="7">
        <f t="shared" si="97"/>
        <v>90</v>
      </c>
      <c r="P241" s="4">
        <f t="shared" si="98"/>
        <v>100</v>
      </c>
      <c r="Q241" s="4">
        <f t="shared" si="99"/>
        <v>422.9282352941176</v>
      </c>
      <c r="R241" s="4">
        <f t="shared" si="100"/>
        <v>539.23349999999994</v>
      </c>
      <c r="S241" s="4">
        <f t="shared" si="101"/>
        <v>599.14833333333331</v>
      </c>
    </row>
    <row r="242" spans="1:19" ht="33" customHeight="1" x14ac:dyDescent="0.25">
      <c r="A242" s="5">
        <v>240</v>
      </c>
      <c r="B242" s="2" t="s">
        <v>9</v>
      </c>
      <c r="C242" s="16" t="s">
        <v>68</v>
      </c>
      <c r="D242" s="1">
        <v>203</v>
      </c>
      <c r="E242" s="7">
        <v>2.23</v>
      </c>
      <c r="F242" s="7">
        <f t="shared" si="92"/>
        <v>452.69</v>
      </c>
      <c r="G242" s="8">
        <f t="shared" si="93"/>
        <v>452.69</v>
      </c>
      <c r="H242" s="4">
        <f t="shared" si="94"/>
        <v>577.17975000000001</v>
      </c>
      <c r="I242" s="4">
        <f t="shared" si="95"/>
        <v>641.31083333333333</v>
      </c>
      <c r="J242" s="18">
        <v>2520</v>
      </c>
      <c r="K242" s="7">
        <f t="shared" si="89"/>
        <v>35.699999999999996</v>
      </c>
      <c r="L242" s="7">
        <f t="shared" si="90"/>
        <v>28</v>
      </c>
      <c r="M242" s="7">
        <f t="shared" si="91"/>
        <v>25.2</v>
      </c>
      <c r="N242" s="7">
        <f t="shared" si="96"/>
        <v>70.588235294117652</v>
      </c>
      <c r="O242" s="7">
        <f t="shared" si="97"/>
        <v>90</v>
      </c>
      <c r="P242" s="4">
        <f t="shared" si="98"/>
        <v>100</v>
      </c>
      <c r="Q242" s="4">
        <f t="shared" si="99"/>
        <v>523.27823529411762</v>
      </c>
      <c r="R242" s="4">
        <f t="shared" si="100"/>
        <v>667.17975000000001</v>
      </c>
      <c r="S242" s="4">
        <f t="shared" si="101"/>
        <v>741.31083333333333</v>
      </c>
    </row>
    <row r="243" spans="1:19" ht="33" customHeight="1" x14ac:dyDescent="0.25">
      <c r="A243" s="5">
        <v>241</v>
      </c>
      <c r="B243" s="2" t="s">
        <v>10</v>
      </c>
      <c r="C243" s="16" t="s">
        <v>46</v>
      </c>
      <c r="D243" s="1">
        <v>177</v>
      </c>
      <c r="E243" s="7">
        <v>2.23</v>
      </c>
      <c r="F243" s="7">
        <f t="shared" si="92"/>
        <v>394.71</v>
      </c>
      <c r="G243" s="8">
        <f t="shared" si="93"/>
        <v>394.71</v>
      </c>
      <c r="H243" s="4">
        <f t="shared" si="94"/>
        <v>503.25524999999993</v>
      </c>
      <c r="I243" s="4">
        <f t="shared" si="95"/>
        <v>559.17250000000001</v>
      </c>
      <c r="J243" s="18">
        <v>2520</v>
      </c>
      <c r="K243" s="7">
        <f t="shared" si="89"/>
        <v>35.699999999999996</v>
      </c>
      <c r="L243" s="7">
        <f t="shared" si="90"/>
        <v>28</v>
      </c>
      <c r="M243" s="7">
        <f t="shared" si="91"/>
        <v>25.2</v>
      </c>
      <c r="N243" s="7">
        <f t="shared" si="96"/>
        <v>70.588235294117652</v>
      </c>
      <c r="O243" s="7">
        <f t="shared" si="97"/>
        <v>90</v>
      </c>
      <c r="P243" s="4">
        <f t="shared" si="98"/>
        <v>100</v>
      </c>
      <c r="Q243" s="4">
        <f t="shared" si="99"/>
        <v>465.2982352941176</v>
      </c>
      <c r="R243" s="4">
        <f t="shared" si="100"/>
        <v>593.25524999999993</v>
      </c>
      <c r="S243" s="4">
        <f t="shared" si="101"/>
        <v>659.17250000000001</v>
      </c>
    </row>
    <row r="244" spans="1:19" ht="33" customHeight="1" x14ac:dyDescent="0.25">
      <c r="A244" s="5">
        <v>242</v>
      </c>
      <c r="B244" s="2" t="s">
        <v>12</v>
      </c>
      <c r="C244" s="16" t="s">
        <v>48</v>
      </c>
      <c r="D244" s="1">
        <v>108</v>
      </c>
      <c r="E244" s="7">
        <v>2.23</v>
      </c>
      <c r="F244" s="7">
        <f t="shared" si="92"/>
        <v>240.84</v>
      </c>
      <c r="G244" s="8">
        <f t="shared" si="93"/>
        <v>240.84</v>
      </c>
      <c r="H244" s="4">
        <f t="shared" si="94"/>
        <v>307.07099999999997</v>
      </c>
      <c r="I244" s="4">
        <f t="shared" si="95"/>
        <v>341.19</v>
      </c>
      <c r="J244" s="18">
        <v>2520</v>
      </c>
      <c r="K244" s="7">
        <f t="shared" si="89"/>
        <v>35.699999999999996</v>
      </c>
      <c r="L244" s="7">
        <f t="shared" si="90"/>
        <v>28</v>
      </c>
      <c r="M244" s="7">
        <f t="shared" si="91"/>
        <v>25.2</v>
      </c>
      <c r="N244" s="7">
        <f t="shared" si="96"/>
        <v>70.588235294117652</v>
      </c>
      <c r="O244" s="7">
        <f t="shared" si="97"/>
        <v>90</v>
      </c>
      <c r="P244" s="4">
        <f t="shared" si="98"/>
        <v>100</v>
      </c>
      <c r="Q244" s="4">
        <f t="shared" si="99"/>
        <v>311.42823529411766</v>
      </c>
      <c r="R244" s="4">
        <f t="shared" si="100"/>
        <v>397.07099999999997</v>
      </c>
      <c r="S244" s="4">
        <f t="shared" si="101"/>
        <v>441.19</v>
      </c>
    </row>
    <row r="245" spans="1:19" ht="33" customHeight="1" x14ac:dyDescent="0.25">
      <c r="A245" s="5">
        <v>243</v>
      </c>
      <c r="B245" s="2" t="s">
        <v>18</v>
      </c>
      <c r="C245" s="16" t="s">
        <v>53</v>
      </c>
      <c r="D245" s="1">
        <v>204</v>
      </c>
      <c r="E245" s="7">
        <v>2.23</v>
      </c>
      <c r="F245" s="7">
        <f t="shared" si="92"/>
        <v>454.92</v>
      </c>
      <c r="G245" s="8">
        <f t="shared" si="93"/>
        <v>454.92</v>
      </c>
      <c r="H245" s="4">
        <f t="shared" si="94"/>
        <v>580.02300000000002</v>
      </c>
      <c r="I245" s="4">
        <f t="shared" si="95"/>
        <v>644.47</v>
      </c>
      <c r="J245" s="18">
        <v>252</v>
      </c>
      <c r="K245" s="7">
        <f t="shared" si="89"/>
        <v>35.699999999999996</v>
      </c>
      <c r="L245" s="7">
        <f t="shared" si="90"/>
        <v>28</v>
      </c>
      <c r="M245" s="7">
        <f t="shared" si="91"/>
        <v>25.2</v>
      </c>
      <c r="N245" s="7">
        <f t="shared" si="96"/>
        <v>7.0588235294117654</v>
      </c>
      <c r="O245" s="7">
        <f t="shared" si="97"/>
        <v>9</v>
      </c>
      <c r="P245" s="4">
        <f t="shared" si="98"/>
        <v>10</v>
      </c>
      <c r="Q245" s="4">
        <f t="shared" si="99"/>
        <v>461.97882352941178</v>
      </c>
      <c r="R245" s="4">
        <f t="shared" si="100"/>
        <v>589.02300000000002</v>
      </c>
      <c r="S245" s="4">
        <f t="shared" si="101"/>
        <v>654.47</v>
      </c>
    </row>
    <row r="246" spans="1:19" ht="33" customHeight="1" x14ac:dyDescent="0.25">
      <c r="A246" s="5">
        <v>244</v>
      </c>
      <c r="B246" s="2" t="s">
        <v>21</v>
      </c>
      <c r="C246" s="16" t="s">
        <v>410</v>
      </c>
      <c r="D246" s="1">
        <v>104</v>
      </c>
      <c r="E246" s="7">
        <v>2.23</v>
      </c>
      <c r="F246" s="7">
        <f t="shared" si="92"/>
        <v>231.92</v>
      </c>
      <c r="G246" s="8">
        <f t="shared" si="93"/>
        <v>231.92</v>
      </c>
      <c r="H246" s="4">
        <f t="shared" si="94"/>
        <v>295.69799999999998</v>
      </c>
      <c r="I246" s="4">
        <f t="shared" si="95"/>
        <v>328.55333333333334</v>
      </c>
      <c r="J246" s="18">
        <v>75</v>
      </c>
      <c r="K246" s="7">
        <f t="shared" si="89"/>
        <v>35.699999999999996</v>
      </c>
      <c r="L246" s="7">
        <f t="shared" si="90"/>
        <v>28</v>
      </c>
      <c r="M246" s="7">
        <f t="shared" si="91"/>
        <v>25.2</v>
      </c>
      <c r="N246" s="7">
        <f t="shared" si="96"/>
        <v>2.1008403361344539</v>
      </c>
      <c r="O246" s="7">
        <f t="shared" si="97"/>
        <v>2.6785714285714284</v>
      </c>
      <c r="P246" s="4">
        <f t="shared" si="98"/>
        <v>2.9761904761904763</v>
      </c>
      <c r="Q246" s="4">
        <f t="shared" si="99"/>
        <v>234.02084033613446</v>
      </c>
      <c r="R246" s="4">
        <f t="shared" si="100"/>
        <v>298.37657142857142</v>
      </c>
      <c r="S246" s="4">
        <f t="shared" si="101"/>
        <v>331.52952380952382</v>
      </c>
    </row>
    <row r="247" spans="1:19" ht="33" customHeight="1" x14ac:dyDescent="0.25">
      <c r="A247" s="5">
        <v>245</v>
      </c>
      <c r="B247" s="2" t="s">
        <v>35</v>
      </c>
      <c r="C247" s="16" t="s">
        <v>64</v>
      </c>
      <c r="D247" s="1">
        <v>72</v>
      </c>
      <c r="E247" s="7">
        <v>2.23</v>
      </c>
      <c r="F247" s="7">
        <f t="shared" si="92"/>
        <v>160.56</v>
      </c>
      <c r="G247" s="8">
        <f t="shared" si="93"/>
        <v>160.56</v>
      </c>
      <c r="H247" s="4">
        <f t="shared" si="94"/>
        <v>204.714</v>
      </c>
      <c r="I247" s="4">
        <f t="shared" si="95"/>
        <v>227.46</v>
      </c>
      <c r="J247" s="18">
        <v>295</v>
      </c>
      <c r="K247" s="7">
        <f t="shared" si="89"/>
        <v>35.699999999999996</v>
      </c>
      <c r="L247" s="7">
        <f t="shared" si="90"/>
        <v>28</v>
      </c>
      <c r="M247" s="7">
        <f t="shared" si="91"/>
        <v>25.2</v>
      </c>
      <c r="N247" s="7">
        <f t="shared" si="96"/>
        <v>8.2633053221288524</v>
      </c>
      <c r="O247" s="7">
        <f t="shared" si="97"/>
        <v>10.535714285714286</v>
      </c>
      <c r="P247" s="4">
        <f t="shared" si="98"/>
        <v>11.706349206349207</v>
      </c>
      <c r="Q247" s="4">
        <f t="shared" si="99"/>
        <v>168.82330532212885</v>
      </c>
      <c r="R247" s="4">
        <f t="shared" si="100"/>
        <v>215.24971428571428</v>
      </c>
      <c r="S247" s="4">
        <f t="shared" si="101"/>
        <v>239.16634920634922</v>
      </c>
    </row>
    <row r="248" spans="1:19" ht="46.5" customHeight="1" x14ac:dyDescent="0.25">
      <c r="A248" s="5">
        <v>246</v>
      </c>
      <c r="B248" s="2" t="s">
        <v>38</v>
      </c>
      <c r="C248" s="16" t="s">
        <v>517</v>
      </c>
      <c r="D248" s="2">
        <v>66.7</v>
      </c>
      <c r="E248" s="7">
        <v>2.23</v>
      </c>
      <c r="F248" s="7">
        <f t="shared" si="92"/>
        <v>148.74100000000001</v>
      </c>
      <c r="G248" s="8">
        <f t="shared" si="93"/>
        <v>148.74100000000001</v>
      </c>
      <c r="H248" s="4">
        <f t="shared" si="94"/>
        <v>189.64477500000001</v>
      </c>
      <c r="I248" s="4">
        <f t="shared" si="95"/>
        <v>210.7164166666667</v>
      </c>
      <c r="J248" s="18">
        <v>125</v>
      </c>
      <c r="K248" s="7">
        <f t="shared" si="89"/>
        <v>35.699999999999996</v>
      </c>
      <c r="L248" s="7">
        <f t="shared" si="90"/>
        <v>28</v>
      </c>
      <c r="M248" s="7">
        <f t="shared" si="91"/>
        <v>25.2</v>
      </c>
      <c r="N248" s="7">
        <f t="shared" si="96"/>
        <v>3.5014005602240901</v>
      </c>
      <c r="O248" s="7">
        <f t="shared" si="97"/>
        <v>4.4642857142857144</v>
      </c>
      <c r="P248" s="4">
        <f t="shared" si="98"/>
        <v>4.9603174603174605</v>
      </c>
      <c r="Q248" s="4">
        <f t="shared" si="99"/>
        <v>152.2424005602241</v>
      </c>
      <c r="R248" s="4">
        <f t="shared" si="100"/>
        <v>194.10906071428573</v>
      </c>
      <c r="S248" s="4">
        <f t="shared" si="101"/>
        <v>215.67673412698417</v>
      </c>
    </row>
    <row r="249" spans="1:19" ht="33" hidden="1" customHeight="1" x14ac:dyDescent="0.25">
      <c r="A249" s="5">
        <v>247</v>
      </c>
      <c r="B249" s="5">
        <v>107</v>
      </c>
      <c r="C249" s="6" t="s">
        <v>254</v>
      </c>
      <c r="D249" s="5">
        <v>308</v>
      </c>
      <c r="E249" s="7">
        <v>2.23</v>
      </c>
      <c r="F249" s="7">
        <f t="shared" si="80"/>
        <v>686.84</v>
      </c>
      <c r="G249" s="8">
        <f t="shared" si="88"/>
        <v>686.84</v>
      </c>
      <c r="H249" s="4">
        <f t="shared" si="81"/>
        <v>875.721</v>
      </c>
      <c r="I249" s="4">
        <f t="shared" ref="I249:I312" si="102">(F249*51)/36</f>
        <v>973.02333333333343</v>
      </c>
      <c r="J249" s="17">
        <v>290</v>
      </c>
      <c r="K249" s="7">
        <f t="shared" si="89"/>
        <v>35.699999999999996</v>
      </c>
      <c r="L249" s="7">
        <f t="shared" si="90"/>
        <v>28</v>
      </c>
      <c r="M249" s="7">
        <f t="shared" si="91"/>
        <v>25.2</v>
      </c>
      <c r="N249" s="7">
        <f t="shared" si="82"/>
        <v>8.1232492997198893</v>
      </c>
      <c r="O249" s="7">
        <f t="shared" si="83"/>
        <v>10.357142857142858</v>
      </c>
      <c r="P249" s="4">
        <f t="shared" si="84"/>
        <v>11.507936507936508</v>
      </c>
      <c r="Q249" s="4">
        <f t="shared" si="85"/>
        <v>694.96324929971991</v>
      </c>
      <c r="R249" s="4">
        <f t="shared" si="86"/>
        <v>886.07814285714289</v>
      </c>
      <c r="S249" s="4">
        <f t="shared" si="87"/>
        <v>984.53126984126993</v>
      </c>
    </row>
    <row r="250" spans="1:19" ht="33" hidden="1" customHeight="1" x14ac:dyDescent="0.25">
      <c r="A250" s="5">
        <v>248</v>
      </c>
      <c r="B250" s="5">
        <v>108</v>
      </c>
      <c r="C250" s="6" t="s">
        <v>255</v>
      </c>
      <c r="D250" s="5">
        <v>151</v>
      </c>
      <c r="E250" s="7">
        <v>2.23</v>
      </c>
      <c r="F250" s="7">
        <f t="shared" si="80"/>
        <v>336.73</v>
      </c>
      <c r="G250" s="8">
        <f t="shared" si="88"/>
        <v>336.73</v>
      </c>
      <c r="H250" s="4">
        <f t="shared" si="81"/>
        <v>429.33074999999997</v>
      </c>
      <c r="I250" s="4">
        <f t="shared" si="102"/>
        <v>477.03416666666664</v>
      </c>
      <c r="J250" s="17">
        <v>465</v>
      </c>
      <c r="K250" s="7">
        <f t="shared" si="89"/>
        <v>35.699999999999996</v>
      </c>
      <c r="L250" s="7">
        <f t="shared" si="90"/>
        <v>28</v>
      </c>
      <c r="M250" s="7">
        <f t="shared" si="91"/>
        <v>25.2</v>
      </c>
      <c r="N250" s="7">
        <f t="shared" si="82"/>
        <v>13.025210084033615</v>
      </c>
      <c r="O250" s="7">
        <f t="shared" si="83"/>
        <v>16.607142857142858</v>
      </c>
      <c r="P250" s="4">
        <f t="shared" si="84"/>
        <v>18.452380952380953</v>
      </c>
      <c r="Q250" s="4">
        <f t="shared" si="85"/>
        <v>349.75521008403365</v>
      </c>
      <c r="R250" s="4">
        <f t="shared" si="86"/>
        <v>445.9378928571428</v>
      </c>
      <c r="S250" s="4">
        <f t="shared" si="87"/>
        <v>495.4865476190476</v>
      </c>
    </row>
    <row r="251" spans="1:19" ht="33" hidden="1" customHeight="1" x14ac:dyDescent="0.25">
      <c r="A251" s="5">
        <v>249</v>
      </c>
      <c r="B251" s="5">
        <v>109</v>
      </c>
      <c r="C251" s="6" t="s">
        <v>256</v>
      </c>
      <c r="D251" s="5">
        <v>164</v>
      </c>
      <c r="E251" s="7">
        <v>2.23</v>
      </c>
      <c r="F251" s="7">
        <f t="shared" si="80"/>
        <v>365.71999999999997</v>
      </c>
      <c r="G251" s="8">
        <f t="shared" si="88"/>
        <v>365.71999999999997</v>
      </c>
      <c r="H251" s="4">
        <f t="shared" si="81"/>
        <v>466.29299999999995</v>
      </c>
      <c r="I251" s="4">
        <f t="shared" si="102"/>
        <v>518.10333333333324</v>
      </c>
      <c r="J251" s="17">
        <v>290</v>
      </c>
      <c r="K251" s="7">
        <f t="shared" si="89"/>
        <v>35.699999999999996</v>
      </c>
      <c r="L251" s="7">
        <f t="shared" si="90"/>
        <v>28</v>
      </c>
      <c r="M251" s="7">
        <f t="shared" si="91"/>
        <v>25.2</v>
      </c>
      <c r="N251" s="7">
        <f t="shared" si="82"/>
        <v>8.1232492997198893</v>
      </c>
      <c r="O251" s="7">
        <f t="shared" si="83"/>
        <v>10.357142857142858</v>
      </c>
      <c r="P251" s="4">
        <f t="shared" si="84"/>
        <v>11.507936507936508</v>
      </c>
      <c r="Q251" s="4">
        <f t="shared" si="85"/>
        <v>373.84324929971984</v>
      </c>
      <c r="R251" s="4">
        <f t="shared" si="86"/>
        <v>476.65014285714278</v>
      </c>
      <c r="S251" s="4">
        <f t="shared" si="87"/>
        <v>529.61126984126975</v>
      </c>
    </row>
    <row r="252" spans="1:19" ht="33" hidden="1" customHeight="1" x14ac:dyDescent="0.25">
      <c r="A252" s="5">
        <v>250</v>
      </c>
      <c r="B252" s="5">
        <v>110</v>
      </c>
      <c r="C252" s="6" t="s">
        <v>257</v>
      </c>
      <c r="D252" s="5">
        <v>203</v>
      </c>
      <c r="E252" s="7">
        <v>2.23</v>
      </c>
      <c r="F252" s="7">
        <f t="shared" si="80"/>
        <v>452.69</v>
      </c>
      <c r="G252" s="8">
        <f t="shared" si="88"/>
        <v>452.69</v>
      </c>
      <c r="H252" s="4">
        <f t="shared" si="81"/>
        <v>577.17975000000001</v>
      </c>
      <c r="I252" s="4">
        <f t="shared" si="102"/>
        <v>641.31083333333333</v>
      </c>
      <c r="J252" s="17">
        <v>660</v>
      </c>
      <c r="K252" s="7">
        <f t="shared" si="89"/>
        <v>35.699999999999996</v>
      </c>
      <c r="L252" s="7">
        <f t="shared" si="90"/>
        <v>28</v>
      </c>
      <c r="M252" s="7">
        <f t="shared" si="91"/>
        <v>25.2</v>
      </c>
      <c r="N252" s="7">
        <f t="shared" si="82"/>
        <v>18.487394957983195</v>
      </c>
      <c r="O252" s="7">
        <f t="shared" si="83"/>
        <v>23.571428571428573</v>
      </c>
      <c r="P252" s="4">
        <f t="shared" si="84"/>
        <v>26.19047619047619</v>
      </c>
      <c r="Q252" s="4">
        <f t="shared" si="85"/>
        <v>471.17739495798321</v>
      </c>
      <c r="R252" s="4">
        <f t="shared" si="86"/>
        <v>600.75117857142857</v>
      </c>
      <c r="S252" s="4">
        <f t="shared" si="87"/>
        <v>667.50130952380948</v>
      </c>
    </row>
    <row r="253" spans="1:19" ht="33" hidden="1" customHeight="1" x14ac:dyDescent="0.25">
      <c r="A253" s="5">
        <v>251</v>
      </c>
      <c r="B253" s="5">
        <v>111</v>
      </c>
      <c r="C253" s="6" t="s">
        <v>258</v>
      </c>
      <c r="D253" s="5">
        <v>252</v>
      </c>
      <c r="E253" s="7">
        <v>2.23</v>
      </c>
      <c r="F253" s="7">
        <f t="shared" si="80"/>
        <v>561.96</v>
      </c>
      <c r="G253" s="8">
        <f t="shared" si="88"/>
        <v>561.96</v>
      </c>
      <c r="H253" s="4">
        <f t="shared" si="81"/>
        <v>716.49900000000002</v>
      </c>
      <c r="I253" s="4">
        <f t="shared" si="102"/>
        <v>796.11000000000013</v>
      </c>
      <c r="J253" s="17">
        <v>290</v>
      </c>
      <c r="K253" s="7">
        <f t="shared" si="89"/>
        <v>35.699999999999996</v>
      </c>
      <c r="L253" s="7">
        <f t="shared" si="90"/>
        <v>28</v>
      </c>
      <c r="M253" s="7">
        <f t="shared" si="91"/>
        <v>25.2</v>
      </c>
      <c r="N253" s="7">
        <f t="shared" si="82"/>
        <v>8.1232492997198893</v>
      </c>
      <c r="O253" s="7">
        <f t="shared" si="83"/>
        <v>10.357142857142858</v>
      </c>
      <c r="P253" s="4">
        <f t="shared" si="84"/>
        <v>11.507936507936508</v>
      </c>
      <c r="Q253" s="4">
        <f t="shared" si="85"/>
        <v>570.08324929971991</v>
      </c>
      <c r="R253" s="4">
        <f t="shared" si="86"/>
        <v>726.85614285714291</v>
      </c>
      <c r="S253" s="4">
        <f t="shared" si="87"/>
        <v>807.61793650793663</v>
      </c>
    </row>
    <row r="254" spans="1:19" ht="33" hidden="1" customHeight="1" x14ac:dyDescent="0.25">
      <c r="A254" s="5">
        <v>252</v>
      </c>
      <c r="B254" s="5">
        <v>112</v>
      </c>
      <c r="C254" s="6" t="s">
        <v>259</v>
      </c>
      <c r="D254" s="5">
        <v>273</v>
      </c>
      <c r="E254" s="7">
        <v>2.23</v>
      </c>
      <c r="F254" s="7">
        <f t="shared" si="80"/>
        <v>608.79</v>
      </c>
      <c r="G254" s="8">
        <f t="shared" si="88"/>
        <v>608.79</v>
      </c>
      <c r="H254" s="4">
        <f t="shared" si="81"/>
        <v>776.20724999999993</v>
      </c>
      <c r="I254" s="4">
        <f t="shared" si="102"/>
        <v>862.45249999999987</v>
      </c>
      <c r="J254" s="17">
        <v>215</v>
      </c>
      <c r="K254" s="7">
        <f t="shared" si="89"/>
        <v>35.699999999999996</v>
      </c>
      <c r="L254" s="7">
        <f t="shared" si="90"/>
        <v>28</v>
      </c>
      <c r="M254" s="7">
        <f t="shared" si="91"/>
        <v>25.2</v>
      </c>
      <c r="N254" s="7">
        <f t="shared" si="82"/>
        <v>6.022408963585435</v>
      </c>
      <c r="O254" s="7">
        <f t="shared" si="83"/>
        <v>7.6785714285714288</v>
      </c>
      <c r="P254" s="4">
        <f t="shared" si="84"/>
        <v>8.5317460317460316</v>
      </c>
      <c r="Q254" s="4">
        <f t="shared" si="85"/>
        <v>614.81240896358543</v>
      </c>
      <c r="R254" s="4">
        <f t="shared" si="86"/>
        <v>783.88582142857138</v>
      </c>
      <c r="S254" s="4">
        <f t="shared" si="87"/>
        <v>870.9842460317459</v>
      </c>
    </row>
    <row r="255" spans="1:19" ht="33" hidden="1" customHeight="1" x14ac:dyDescent="0.25">
      <c r="A255" s="5">
        <v>253</v>
      </c>
      <c r="B255" s="5">
        <v>113</v>
      </c>
      <c r="C255" s="6" t="s">
        <v>260</v>
      </c>
      <c r="D255" s="5">
        <v>295</v>
      </c>
      <c r="E255" s="7">
        <v>2.23</v>
      </c>
      <c r="F255" s="7">
        <f t="shared" si="80"/>
        <v>657.85</v>
      </c>
      <c r="G255" s="8">
        <f t="shared" si="88"/>
        <v>657.85</v>
      </c>
      <c r="H255" s="4">
        <f t="shared" si="81"/>
        <v>838.75874999999996</v>
      </c>
      <c r="I255" s="4">
        <f t="shared" si="102"/>
        <v>931.95416666666665</v>
      </c>
      <c r="J255" s="17">
        <v>245</v>
      </c>
      <c r="K255" s="7">
        <f t="shared" si="89"/>
        <v>35.699999999999996</v>
      </c>
      <c r="L255" s="7">
        <f t="shared" si="90"/>
        <v>28</v>
      </c>
      <c r="M255" s="7">
        <f t="shared" si="91"/>
        <v>25.2</v>
      </c>
      <c r="N255" s="7">
        <f t="shared" si="82"/>
        <v>6.8627450980392162</v>
      </c>
      <c r="O255" s="7">
        <f t="shared" si="83"/>
        <v>8.75</v>
      </c>
      <c r="P255" s="4">
        <f t="shared" si="84"/>
        <v>9.7222222222222232</v>
      </c>
      <c r="Q255" s="4">
        <f t="shared" si="85"/>
        <v>664.71274509803925</v>
      </c>
      <c r="R255" s="4">
        <f t="shared" si="86"/>
        <v>847.50874999999996</v>
      </c>
      <c r="S255" s="4">
        <f t="shared" si="87"/>
        <v>941.67638888888882</v>
      </c>
    </row>
    <row r="256" spans="1:19" ht="33" hidden="1" customHeight="1" x14ac:dyDescent="0.25">
      <c r="A256" s="5">
        <v>254</v>
      </c>
      <c r="B256" s="5">
        <v>114</v>
      </c>
      <c r="C256" s="6" t="s">
        <v>261</v>
      </c>
      <c r="D256" s="5">
        <v>406</v>
      </c>
      <c r="E256" s="7">
        <v>2.23</v>
      </c>
      <c r="F256" s="7">
        <f t="shared" si="80"/>
        <v>905.38</v>
      </c>
      <c r="G256" s="8">
        <f t="shared" si="88"/>
        <v>905.38</v>
      </c>
      <c r="H256" s="4">
        <f t="shared" si="81"/>
        <v>1154.3595</v>
      </c>
      <c r="I256" s="4">
        <f t="shared" si="102"/>
        <v>1282.6216666666667</v>
      </c>
      <c r="J256" s="17">
        <v>245</v>
      </c>
      <c r="K256" s="7">
        <f t="shared" si="89"/>
        <v>35.699999999999996</v>
      </c>
      <c r="L256" s="7">
        <f t="shared" si="90"/>
        <v>28</v>
      </c>
      <c r="M256" s="7">
        <f t="shared" si="91"/>
        <v>25.2</v>
      </c>
      <c r="N256" s="7">
        <f t="shared" si="82"/>
        <v>6.8627450980392162</v>
      </c>
      <c r="O256" s="7">
        <f t="shared" si="83"/>
        <v>8.75</v>
      </c>
      <c r="P256" s="4">
        <f t="shared" si="84"/>
        <v>9.7222222222222232</v>
      </c>
      <c r="Q256" s="4">
        <f t="shared" si="85"/>
        <v>912.24274509803922</v>
      </c>
      <c r="R256" s="4">
        <f t="shared" si="86"/>
        <v>1163.1095</v>
      </c>
      <c r="S256" s="4">
        <f t="shared" si="87"/>
        <v>1292.3438888888888</v>
      </c>
    </row>
    <row r="257" spans="1:19" ht="33" hidden="1" customHeight="1" x14ac:dyDescent="0.25">
      <c r="A257" s="5">
        <v>255</v>
      </c>
      <c r="B257" s="5">
        <v>115</v>
      </c>
      <c r="C257" s="6" t="s">
        <v>262</v>
      </c>
      <c r="D257" s="5">
        <v>316</v>
      </c>
      <c r="E257" s="7">
        <v>2.23</v>
      </c>
      <c r="F257" s="7">
        <f t="shared" si="80"/>
        <v>704.68</v>
      </c>
      <c r="G257" s="8">
        <f t="shared" si="88"/>
        <v>704.68</v>
      </c>
      <c r="H257" s="4">
        <f t="shared" si="81"/>
        <v>898.46699999999987</v>
      </c>
      <c r="I257" s="4">
        <f t="shared" si="102"/>
        <v>998.29666666666662</v>
      </c>
      <c r="J257" s="17">
        <v>860</v>
      </c>
      <c r="K257" s="7">
        <f t="shared" si="89"/>
        <v>35.699999999999996</v>
      </c>
      <c r="L257" s="7">
        <f t="shared" si="90"/>
        <v>28</v>
      </c>
      <c r="M257" s="7">
        <f t="shared" si="91"/>
        <v>25.2</v>
      </c>
      <c r="N257" s="7">
        <f t="shared" si="82"/>
        <v>24.08963585434174</v>
      </c>
      <c r="O257" s="7">
        <f t="shared" si="83"/>
        <v>30.714285714285715</v>
      </c>
      <c r="P257" s="4">
        <f t="shared" si="84"/>
        <v>34.126984126984127</v>
      </c>
      <c r="Q257" s="4">
        <f t="shared" si="85"/>
        <v>728.76963585434169</v>
      </c>
      <c r="R257" s="4">
        <f t="shared" si="86"/>
        <v>929.18128571428554</v>
      </c>
      <c r="S257" s="4">
        <f t="shared" si="87"/>
        <v>1032.4236507936507</v>
      </c>
    </row>
    <row r="258" spans="1:19" ht="33" hidden="1" customHeight="1" x14ac:dyDescent="0.25">
      <c r="A258" s="5">
        <v>256</v>
      </c>
      <c r="B258" s="5">
        <v>116</v>
      </c>
      <c r="C258" s="6" t="s">
        <v>263</v>
      </c>
      <c r="D258" s="5">
        <v>276</v>
      </c>
      <c r="E258" s="7">
        <v>2.23</v>
      </c>
      <c r="F258" s="7">
        <f t="shared" si="80"/>
        <v>615.48</v>
      </c>
      <c r="G258" s="8">
        <f t="shared" si="88"/>
        <v>615.48</v>
      </c>
      <c r="H258" s="4">
        <f t="shared" si="81"/>
        <v>784.73699999999997</v>
      </c>
      <c r="I258" s="4">
        <f t="shared" si="102"/>
        <v>871.93</v>
      </c>
      <c r="J258" s="17">
        <v>290</v>
      </c>
      <c r="K258" s="7">
        <f t="shared" si="89"/>
        <v>35.699999999999996</v>
      </c>
      <c r="L258" s="7">
        <f t="shared" si="90"/>
        <v>28</v>
      </c>
      <c r="M258" s="7">
        <f t="shared" si="91"/>
        <v>25.2</v>
      </c>
      <c r="N258" s="7">
        <f t="shared" si="82"/>
        <v>8.1232492997198893</v>
      </c>
      <c r="O258" s="7">
        <f t="shared" si="83"/>
        <v>10.357142857142858</v>
      </c>
      <c r="P258" s="4">
        <f t="shared" si="84"/>
        <v>11.507936507936508</v>
      </c>
      <c r="Q258" s="4">
        <f t="shared" si="85"/>
        <v>623.60324929971989</v>
      </c>
      <c r="R258" s="4">
        <f t="shared" si="86"/>
        <v>795.09414285714286</v>
      </c>
      <c r="S258" s="4">
        <f t="shared" si="87"/>
        <v>883.43793650793646</v>
      </c>
    </row>
    <row r="259" spans="1:19" ht="33" hidden="1" customHeight="1" x14ac:dyDescent="0.25">
      <c r="A259" s="5">
        <v>257</v>
      </c>
      <c r="B259" s="5">
        <v>117</v>
      </c>
      <c r="C259" s="6" t="s">
        <v>264</v>
      </c>
      <c r="D259" s="5">
        <v>132</v>
      </c>
      <c r="E259" s="7">
        <v>2.23</v>
      </c>
      <c r="F259" s="7">
        <f t="shared" si="80"/>
        <v>294.36</v>
      </c>
      <c r="G259" s="8">
        <f t="shared" si="88"/>
        <v>294.36</v>
      </c>
      <c r="H259" s="4">
        <f t="shared" si="81"/>
        <v>375.30899999999997</v>
      </c>
      <c r="I259" s="4">
        <f t="shared" si="102"/>
        <v>417.01</v>
      </c>
      <c r="J259" s="17">
        <v>90</v>
      </c>
      <c r="K259" s="7">
        <f t="shared" si="89"/>
        <v>35.699999999999996</v>
      </c>
      <c r="L259" s="7">
        <f t="shared" si="90"/>
        <v>28</v>
      </c>
      <c r="M259" s="7">
        <f t="shared" si="91"/>
        <v>25.2</v>
      </c>
      <c r="N259" s="7">
        <f t="shared" si="82"/>
        <v>2.5210084033613449</v>
      </c>
      <c r="O259" s="7">
        <f t="shared" si="83"/>
        <v>3.2142857142857144</v>
      </c>
      <c r="P259" s="4">
        <f t="shared" si="84"/>
        <v>3.5714285714285716</v>
      </c>
      <c r="Q259" s="4">
        <f t="shared" si="85"/>
        <v>296.88100840336136</v>
      </c>
      <c r="R259" s="4">
        <f t="shared" si="86"/>
        <v>378.52328571428569</v>
      </c>
      <c r="S259" s="4">
        <f t="shared" si="87"/>
        <v>420.58142857142855</v>
      </c>
    </row>
    <row r="260" spans="1:19" ht="33" hidden="1" customHeight="1" x14ac:dyDescent="0.25">
      <c r="A260" s="5">
        <v>258</v>
      </c>
      <c r="B260" s="5">
        <v>118</v>
      </c>
      <c r="C260" s="6" t="s">
        <v>265</v>
      </c>
      <c r="D260" s="5">
        <v>258</v>
      </c>
      <c r="E260" s="7">
        <v>2.23</v>
      </c>
      <c r="F260" s="7">
        <f t="shared" si="80"/>
        <v>575.34</v>
      </c>
      <c r="G260" s="8">
        <f t="shared" si="88"/>
        <v>575.34</v>
      </c>
      <c r="H260" s="4">
        <f t="shared" si="81"/>
        <v>733.55849999999998</v>
      </c>
      <c r="I260" s="4">
        <f t="shared" si="102"/>
        <v>815.06500000000005</v>
      </c>
      <c r="J260" s="17">
        <v>135</v>
      </c>
      <c r="K260" s="7">
        <f t="shared" si="89"/>
        <v>35.699999999999996</v>
      </c>
      <c r="L260" s="7">
        <f t="shared" si="90"/>
        <v>28</v>
      </c>
      <c r="M260" s="7">
        <f t="shared" si="91"/>
        <v>25.2</v>
      </c>
      <c r="N260" s="7">
        <f t="shared" si="82"/>
        <v>3.7815126050420171</v>
      </c>
      <c r="O260" s="7">
        <f t="shared" si="83"/>
        <v>4.8214285714285712</v>
      </c>
      <c r="P260" s="4">
        <f t="shared" si="84"/>
        <v>5.3571428571428577</v>
      </c>
      <c r="Q260" s="4">
        <f t="shared" si="85"/>
        <v>579.12151260504208</v>
      </c>
      <c r="R260" s="4">
        <f t="shared" si="86"/>
        <v>738.37992857142854</v>
      </c>
      <c r="S260" s="4">
        <f t="shared" si="87"/>
        <v>820.42214285714294</v>
      </c>
    </row>
    <row r="261" spans="1:19" ht="33" hidden="1" customHeight="1" x14ac:dyDescent="0.25">
      <c r="A261" s="5">
        <v>259</v>
      </c>
      <c r="B261" s="5">
        <v>119</v>
      </c>
      <c r="C261" s="6" t="s">
        <v>266</v>
      </c>
      <c r="D261" s="5">
        <v>497</v>
      </c>
      <c r="E261" s="7">
        <v>2.23</v>
      </c>
      <c r="F261" s="7">
        <f t="shared" si="80"/>
        <v>1108.31</v>
      </c>
      <c r="G261" s="8">
        <f t="shared" si="88"/>
        <v>1108.31</v>
      </c>
      <c r="H261" s="4">
        <f t="shared" si="81"/>
        <v>1413.0952499999999</v>
      </c>
      <c r="I261" s="4">
        <f t="shared" si="102"/>
        <v>1570.1058333333333</v>
      </c>
      <c r="J261" s="17">
        <v>3060</v>
      </c>
      <c r="K261" s="7">
        <f t="shared" si="89"/>
        <v>35.699999999999996</v>
      </c>
      <c r="L261" s="7">
        <f t="shared" si="90"/>
        <v>28</v>
      </c>
      <c r="M261" s="7">
        <f t="shared" si="91"/>
        <v>25.2</v>
      </c>
      <c r="N261" s="7">
        <f t="shared" si="82"/>
        <v>85.714285714285722</v>
      </c>
      <c r="O261" s="7">
        <f t="shared" si="83"/>
        <v>109.28571428571429</v>
      </c>
      <c r="P261" s="4">
        <f t="shared" si="84"/>
        <v>121.42857142857143</v>
      </c>
      <c r="Q261" s="4">
        <f t="shared" si="85"/>
        <v>1194.0242857142857</v>
      </c>
      <c r="R261" s="4">
        <f t="shared" si="86"/>
        <v>1522.3809642857141</v>
      </c>
      <c r="S261" s="4">
        <f t="shared" si="87"/>
        <v>1691.5344047619046</v>
      </c>
    </row>
    <row r="262" spans="1:19" ht="33" hidden="1" customHeight="1" x14ac:dyDescent="0.25">
      <c r="A262" s="5">
        <v>260</v>
      </c>
      <c r="B262" s="5">
        <v>120</v>
      </c>
      <c r="C262" s="6" t="s">
        <v>267</v>
      </c>
      <c r="D262" s="5">
        <v>207</v>
      </c>
      <c r="E262" s="7">
        <v>2.23</v>
      </c>
      <c r="F262" s="7">
        <f t="shared" si="80"/>
        <v>461.61</v>
      </c>
      <c r="G262" s="8">
        <f t="shared" si="88"/>
        <v>461.61</v>
      </c>
      <c r="H262" s="4">
        <f t="shared" si="81"/>
        <v>588.55274999999995</v>
      </c>
      <c r="I262" s="4">
        <f t="shared" si="102"/>
        <v>653.94749999999999</v>
      </c>
      <c r="J262" s="17">
        <v>215</v>
      </c>
      <c r="K262" s="7">
        <f t="shared" si="89"/>
        <v>35.699999999999996</v>
      </c>
      <c r="L262" s="7">
        <f t="shared" si="90"/>
        <v>28</v>
      </c>
      <c r="M262" s="7">
        <f t="shared" si="91"/>
        <v>25.2</v>
      </c>
      <c r="N262" s="7">
        <f t="shared" si="82"/>
        <v>6.022408963585435</v>
      </c>
      <c r="O262" s="7">
        <f t="shared" si="83"/>
        <v>7.6785714285714288</v>
      </c>
      <c r="P262" s="4">
        <f t="shared" si="84"/>
        <v>8.5317460317460316</v>
      </c>
      <c r="Q262" s="4">
        <f t="shared" si="85"/>
        <v>467.63240896358548</v>
      </c>
      <c r="R262" s="4">
        <f t="shared" si="86"/>
        <v>596.23132142857139</v>
      </c>
      <c r="S262" s="4">
        <f t="shared" si="87"/>
        <v>662.47924603174602</v>
      </c>
    </row>
    <row r="263" spans="1:19" ht="33" hidden="1" customHeight="1" x14ac:dyDescent="0.25">
      <c r="A263" s="5">
        <v>261</v>
      </c>
      <c r="B263" s="5">
        <v>121</v>
      </c>
      <c r="C263" s="6" t="s">
        <v>268</v>
      </c>
      <c r="D263" s="5">
        <v>348</v>
      </c>
      <c r="E263" s="7">
        <v>2.23</v>
      </c>
      <c r="F263" s="7">
        <f t="shared" si="80"/>
        <v>776.04</v>
      </c>
      <c r="G263" s="8">
        <f t="shared" si="88"/>
        <v>776.04</v>
      </c>
      <c r="H263" s="4">
        <f t="shared" si="81"/>
        <v>989.45099999999991</v>
      </c>
      <c r="I263" s="4">
        <f t="shared" si="102"/>
        <v>1099.3900000000001</v>
      </c>
      <c r="J263" s="17">
        <v>700</v>
      </c>
      <c r="K263" s="7">
        <f t="shared" si="89"/>
        <v>35.699999999999996</v>
      </c>
      <c r="L263" s="7">
        <f t="shared" si="90"/>
        <v>28</v>
      </c>
      <c r="M263" s="7">
        <f t="shared" si="91"/>
        <v>25.2</v>
      </c>
      <c r="N263" s="7">
        <f t="shared" si="82"/>
        <v>19.607843137254903</v>
      </c>
      <c r="O263" s="7">
        <f t="shared" si="83"/>
        <v>25</v>
      </c>
      <c r="P263" s="4">
        <f t="shared" si="84"/>
        <v>27.777777777777779</v>
      </c>
      <c r="Q263" s="4">
        <f t="shared" si="85"/>
        <v>795.64784313725488</v>
      </c>
      <c r="R263" s="4">
        <f t="shared" si="86"/>
        <v>1014.4509999999999</v>
      </c>
      <c r="S263" s="4">
        <f t="shared" si="87"/>
        <v>1127.1677777777779</v>
      </c>
    </row>
    <row r="264" spans="1:19" ht="33" hidden="1" customHeight="1" x14ac:dyDescent="0.25">
      <c r="A264" s="5">
        <v>262</v>
      </c>
      <c r="B264" s="5">
        <v>122</v>
      </c>
      <c r="C264" s="6" t="s">
        <v>411</v>
      </c>
      <c r="D264" s="5">
        <v>318</v>
      </c>
      <c r="E264" s="7">
        <v>2.23</v>
      </c>
      <c r="F264" s="7">
        <f t="shared" si="80"/>
        <v>709.14</v>
      </c>
      <c r="G264" s="8">
        <f t="shared" si="88"/>
        <v>709.14</v>
      </c>
      <c r="H264" s="4">
        <f t="shared" si="81"/>
        <v>904.15349999999989</v>
      </c>
      <c r="I264" s="4">
        <f t="shared" si="102"/>
        <v>1004.615</v>
      </c>
      <c r="J264" s="17">
        <v>215</v>
      </c>
      <c r="K264" s="7">
        <f t="shared" si="89"/>
        <v>35.699999999999996</v>
      </c>
      <c r="L264" s="7">
        <f t="shared" si="90"/>
        <v>28</v>
      </c>
      <c r="M264" s="7">
        <f t="shared" si="91"/>
        <v>25.2</v>
      </c>
      <c r="N264" s="7">
        <f t="shared" si="82"/>
        <v>6.022408963585435</v>
      </c>
      <c r="O264" s="7">
        <f t="shared" si="83"/>
        <v>7.6785714285714288</v>
      </c>
      <c r="P264" s="4">
        <f t="shared" si="84"/>
        <v>8.5317460317460316</v>
      </c>
      <c r="Q264" s="4">
        <f t="shared" si="85"/>
        <v>715.16240896358545</v>
      </c>
      <c r="R264" s="4">
        <f t="shared" si="86"/>
        <v>911.83207142857134</v>
      </c>
      <c r="S264" s="4">
        <f t="shared" si="87"/>
        <v>1013.146746031746</v>
      </c>
    </row>
    <row r="265" spans="1:19" ht="33" hidden="1" customHeight="1" x14ac:dyDescent="0.25">
      <c r="A265" s="5">
        <v>263</v>
      </c>
      <c r="B265" s="5">
        <v>123</v>
      </c>
      <c r="C265" s="6" t="s">
        <v>269</v>
      </c>
      <c r="D265" s="5">
        <v>213</v>
      </c>
      <c r="E265" s="7">
        <v>2.23</v>
      </c>
      <c r="F265" s="7">
        <f t="shared" si="80"/>
        <v>474.99</v>
      </c>
      <c r="G265" s="8">
        <f t="shared" si="88"/>
        <v>474.99</v>
      </c>
      <c r="H265" s="4">
        <f t="shared" si="81"/>
        <v>605.61225000000002</v>
      </c>
      <c r="I265" s="4">
        <f t="shared" si="102"/>
        <v>672.90250000000003</v>
      </c>
      <c r="J265" s="17">
        <v>215</v>
      </c>
      <c r="K265" s="7">
        <f t="shared" si="89"/>
        <v>35.699999999999996</v>
      </c>
      <c r="L265" s="7">
        <f t="shared" si="90"/>
        <v>28</v>
      </c>
      <c r="M265" s="7">
        <f t="shared" si="91"/>
        <v>25.2</v>
      </c>
      <c r="N265" s="7">
        <f t="shared" si="82"/>
        <v>6.022408963585435</v>
      </c>
      <c r="O265" s="7">
        <f t="shared" si="83"/>
        <v>7.6785714285714288</v>
      </c>
      <c r="P265" s="4">
        <f t="shared" si="84"/>
        <v>8.5317460317460316</v>
      </c>
      <c r="Q265" s="4">
        <f t="shared" si="85"/>
        <v>481.01240896358547</v>
      </c>
      <c r="R265" s="4">
        <f t="shared" si="86"/>
        <v>613.29082142857146</v>
      </c>
      <c r="S265" s="4">
        <f t="shared" si="87"/>
        <v>681.43424603174606</v>
      </c>
    </row>
    <row r="266" spans="1:19" ht="33" hidden="1" customHeight="1" x14ac:dyDescent="0.25">
      <c r="A266" s="5">
        <v>264</v>
      </c>
      <c r="B266" s="5">
        <v>124</v>
      </c>
      <c r="C266" s="6" t="s">
        <v>270</v>
      </c>
      <c r="D266" s="5">
        <v>221</v>
      </c>
      <c r="E266" s="7">
        <v>2.23</v>
      </c>
      <c r="F266" s="7">
        <f t="shared" si="80"/>
        <v>492.83</v>
      </c>
      <c r="G266" s="8">
        <f t="shared" si="88"/>
        <v>492.83</v>
      </c>
      <c r="H266" s="4">
        <f t="shared" si="81"/>
        <v>628.35824999999988</v>
      </c>
      <c r="I266" s="4">
        <f t="shared" si="102"/>
        <v>698.17583333333323</v>
      </c>
      <c r="J266" s="17">
        <v>215</v>
      </c>
      <c r="K266" s="7">
        <f t="shared" si="89"/>
        <v>35.699999999999996</v>
      </c>
      <c r="L266" s="7">
        <f t="shared" si="90"/>
        <v>28</v>
      </c>
      <c r="M266" s="7">
        <f t="shared" si="91"/>
        <v>25.2</v>
      </c>
      <c r="N266" s="7">
        <f t="shared" si="82"/>
        <v>6.022408963585435</v>
      </c>
      <c r="O266" s="7">
        <f t="shared" si="83"/>
        <v>7.6785714285714288</v>
      </c>
      <c r="P266" s="4">
        <f t="shared" si="84"/>
        <v>8.5317460317460316</v>
      </c>
      <c r="Q266" s="4">
        <f t="shared" si="85"/>
        <v>498.85240896358545</v>
      </c>
      <c r="R266" s="4">
        <f t="shared" si="86"/>
        <v>636.03682142857133</v>
      </c>
      <c r="S266" s="4">
        <f t="shared" si="87"/>
        <v>706.70757936507925</v>
      </c>
    </row>
    <row r="267" spans="1:19" ht="33" hidden="1" customHeight="1" x14ac:dyDescent="0.25">
      <c r="A267" s="5">
        <v>265</v>
      </c>
      <c r="B267" s="5">
        <v>125</v>
      </c>
      <c r="C267" s="6" t="s">
        <v>271</v>
      </c>
      <c r="D267" s="5">
        <v>144</v>
      </c>
      <c r="E267" s="7">
        <v>2.23</v>
      </c>
      <c r="F267" s="7">
        <f t="shared" si="80"/>
        <v>321.12</v>
      </c>
      <c r="G267" s="8">
        <f t="shared" si="88"/>
        <v>321.12</v>
      </c>
      <c r="H267" s="4">
        <f t="shared" si="81"/>
        <v>409.428</v>
      </c>
      <c r="I267" s="4">
        <f t="shared" si="102"/>
        <v>454.92</v>
      </c>
      <c r="J267" s="17">
        <v>245</v>
      </c>
      <c r="K267" s="7">
        <f t="shared" si="89"/>
        <v>35.699999999999996</v>
      </c>
      <c r="L267" s="7">
        <f t="shared" si="90"/>
        <v>28</v>
      </c>
      <c r="M267" s="7">
        <f t="shared" si="91"/>
        <v>25.2</v>
      </c>
      <c r="N267" s="7">
        <f t="shared" si="82"/>
        <v>6.8627450980392162</v>
      </c>
      <c r="O267" s="7">
        <f t="shared" si="83"/>
        <v>8.75</v>
      </c>
      <c r="P267" s="4">
        <f t="shared" si="84"/>
        <v>9.7222222222222232</v>
      </c>
      <c r="Q267" s="4">
        <f t="shared" si="85"/>
        <v>327.98274509803923</v>
      </c>
      <c r="R267" s="4">
        <f t="shared" si="86"/>
        <v>418.178</v>
      </c>
      <c r="S267" s="4">
        <f t="shared" si="87"/>
        <v>464.64222222222224</v>
      </c>
    </row>
    <row r="268" spans="1:19" ht="33" hidden="1" customHeight="1" x14ac:dyDescent="0.25">
      <c r="A268" s="5">
        <v>266</v>
      </c>
      <c r="B268" s="5">
        <v>126</v>
      </c>
      <c r="C268" s="6" t="s">
        <v>272</v>
      </c>
      <c r="D268" s="5">
        <v>239</v>
      </c>
      <c r="E268" s="7">
        <v>2.23</v>
      </c>
      <c r="F268" s="7">
        <f t="shared" si="80"/>
        <v>532.97</v>
      </c>
      <c r="G268" s="8">
        <f t="shared" si="88"/>
        <v>532.97</v>
      </c>
      <c r="H268" s="4">
        <f t="shared" si="81"/>
        <v>679.53674999999998</v>
      </c>
      <c r="I268" s="4">
        <f t="shared" si="102"/>
        <v>755.04083333333335</v>
      </c>
      <c r="J268" s="17">
        <v>260</v>
      </c>
      <c r="K268" s="7">
        <f t="shared" si="89"/>
        <v>35.699999999999996</v>
      </c>
      <c r="L268" s="7">
        <f t="shared" si="90"/>
        <v>28</v>
      </c>
      <c r="M268" s="7">
        <f t="shared" si="91"/>
        <v>25.2</v>
      </c>
      <c r="N268" s="7">
        <f t="shared" si="82"/>
        <v>7.2829131652661072</v>
      </c>
      <c r="O268" s="7">
        <f t="shared" si="83"/>
        <v>9.2857142857142865</v>
      </c>
      <c r="P268" s="4">
        <f t="shared" si="84"/>
        <v>10.317460317460318</v>
      </c>
      <c r="Q268" s="4">
        <f t="shared" si="85"/>
        <v>540.25291316526614</v>
      </c>
      <c r="R268" s="4">
        <f t="shared" si="86"/>
        <v>688.82246428571432</v>
      </c>
      <c r="S268" s="4">
        <f t="shared" si="87"/>
        <v>765.35829365079371</v>
      </c>
    </row>
    <row r="269" spans="1:19" ht="33" hidden="1" customHeight="1" x14ac:dyDescent="0.25">
      <c r="A269" s="5">
        <v>267</v>
      </c>
      <c r="B269" s="5">
        <v>127</v>
      </c>
      <c r="C269" s="6" t="s">
        <v>273</v>
      </c>
      <c r="D269" s="5">
        <v>645</v>
      </c>
      <c r="E269" s="7">
        <v>2.23</v>
      </c>
      <c r="F269" s="7">
        <f t="shared" si="80"/>
        <v>1438.35</v>
      </c>
      <c r="G269" s="8">
        <f t="shared" si="88"/>
        <v>1438.35</v>
      </c>
      <c r="H269" s="4">
        <f t="shared" si="81"/>
        <v>1833.8962499999998</v>
      </c>
      <c r="I269" s="4">
        <f t="shared" si="102"/>
        <v>2037.6624999999997</v>
      </c>
      <c r="J269" s="17">
        <v>3215</v>
      </c>
      <c r="K269" s="7">
        <f t="shared" si="89"/>
        <v>35.699999999999996</v>
      </c>
      <c r="L269" s="7">
        <f t="shared" si="90"/>
        <v>28</v>
      </c>
      <c r="M269" s="7">
        <f t="shared" si="91"/>
        <v>25.2</v>
      </c>
      <c r="N269" s="7">
        <f t="shared" si="82"/>
        <v>90.056022408963599</v>
      </c>
      <c r="O269" s="7">
        <f t="shared" si="83"/>
        <v>114.82142857142857</v>
      </c>
      <c r="P269" s="4">
        <f t="shared" si="84"/>
        <v>127.57936507936509</v>
      </c>
      <c r="Q269" s="4">
        <f t="shared" si="85"/>
        <v>1528.4060224089635</v>
      </c>
      <c r="R269" s="4">
        <f t="shared" si="86"/>
        <v>1948.7176785714285</v>
      </c>
      <c r="S269" s="4">
        <f t="shared" si="87"/>
        <v>2165.2418650793647</v>
      </c>
    </row>
    <row r="270" spans="1:19" ht="33" hidden="1" customHeight="1" x14ac:dyDescent="0.25">
      <c r="A270" s="5">
        <v>268</v>
      </c>
      <c r="B270" s="5">
        <v>128</v>
      </c>
      <c r="C270" s="6" t="s">
        <v>274</v>
      </c>
      <c r="D270" s="5">
        <v>239</v>
      </c>
      <c r="E270" s="7">
        <v>2.23</v>
      </c>
      <c r="F270" s="7">
        <f t="shared" si="80"/>
        <v>532.97</v>
      </c>
      <c r="G270" s="8">
        <f t="shared" si="88"/>
        <v>532.97</v>
      </c>
      <c r="H270" s="4">
        <f t="shared" si="81"/>
        <v>679.53674999999998</v>
      </c>
      <c r="I270" s="4">
        <f t="shared" si="102"/>
        <v>755.04083333333335</v>
      </c>
      <c r="J270" s="17">
        <v>1050</v>
      </c>
      <c r="K270" s="7">
        <f t="shared" si="89"/>
        <v>35.699999999999996</v>
      </c>
      <c r="L270" s="7">
        <f t="shared" si="90"/>
        <v>28</v>
      </c>
      <c r="M270" s="7">
        <f t="shared" si="91"/>
        <v>25.2</v>
      </c>
      <c r="N270" s="7">
        <f t="shared" si="82"/>
        <v>29.411764705882355</v>
      </c>
      <c r="O270" s="7">
        <f t="shared" si="83"/>
        <v>37.5</v>
      </c>
      <c r="P270" s="4">
        <f t="shared" si="84"/>
        <v>41.666666666666664</v>
      </c>
      <c r="Q270" s="4">
        <f t="shared" si="85"/>
        <v>562.38176470588235</v>
      </c>
      <c r="R270" s="4">
        <f t="shared" si="86"/>
        <v>717.03674999999998</v>
      </c>
      <c r="S270" s="4">
        <f t="shared" si="87"/>
        <v>796.70749999999998</v>
      </c>
    </row>
    <row r="271" spans="1:19" ht="33" hidden="1" customHeight="1" x14ac:dyDescent="0.25">
      <c r="A271" s="5">
        <v>269</v>
      </c>
      <c r="B271" s="5">
        <v>129</v>
      </c>
      <c r="C271" s="6" t="s">
        <v>275</v>
      </c>
      <c r="D271" s="5">
        <v>463</v>
      </c>
      <c r="E271" s="7">
        <v>2.23</v>
      </c>
      <c r="F271" s="7">
        <f t="shared" si="80"/>
        <v>1032.49</v>
      </c>
      <c r="G271" s="8">
        <f t="shared" si="88"/>
        <v>1032.49</v>
      </c>
      <c r="H271" s="4">
        <f t="shared" si="81"/>
        <v>1316.4247499999999</v>
      </c>
      <c r="I271" s="4">
        <f t="shared" si="102"/>
        <v>1462.6941666666667</v>
      </c>
      <c r="J271" s="17">
        <v>1305</v>
      </c>
      <c r="K271" s="7">
        <f t="shared" si="89"/>
        <v>35.699999999999996</v>
      </c>
      <c r="L271" s="7">
        <f t="shared" si="90"/>
        <v>28</v>
      </c>
      <c r="M271" s="7">
        <f t="shared" si="91"/>
        <v>25.2</v>
      </c>
      <c r="N271" s="7">
        <f t="shared" si="82"/>
        <v>36.554621848739501</v>
      </c>
      <c r="O271" s="7">
        <f t="shared" si="83"/>
        <v>46.607142857142854</v>
      </c>
      <c r="P271" s="4">
        <f t="shared" si="84"/>
        <v>51.785714285714285</v>
      </c>
      <c r="Q271" s="4">
        <f t="shared" si="85"/>
        <v>1069.0446218487396</v>
      </c>
      <c r="R271" s="4">
        <f t="shared" si="86"/>
        <v>1363.0318928571428</v>
      </c>
      <c r="S271" s="4">
        <f t="shared" si="87"/>
        <v>1514.4798809523809</v>
      </c>
    </row>
    <row r="272" spans="1:19" ht="33" hidden="1" customHeight="1" x14ac:dyDescent="0.25">
      <c r="A272" s="5">
        <v>270</v>
      </c>
      <c r="B272" s="5">
        <v>130</v>
      </c>
      <c r="C272" s="6" t="s">
        <v>276</v>
      </c>
      <c r="D272" s="5">
        <v>423</v>
      </c>
      <c r="E272" s="7">
        <v>2.23</v>
      </c>
      <c r="F272" s="7">
        <f t="shared" si="80"/>
        <v>943.29</v>
      </c>
      <c r="G272" s="8">
        <f t="shared" si="88"/>
        <v>943.29</v>
      </c>
      <c r="H272" s="4">
        <f t="shared" si="81"/>
        <v>1202.6947499999999</v>
      </c>
      <c r="I272" s="4">
        <f t="shared" si="102"/>
        <v>1336.3275000000001</v>
      </c>
      <c r="J272" s="17">
        <v>1215</v>
      </c>
      <c r="K272" s="7">
        <f t="shared" si="89"/>
        <v>35.699999999999996</v>
      </c>
      <c r="L272" s="7">
        <f t="shared" si="90"/>
        <v>28</v>
      </c>
      <c r="M272" s="7">
        <f t="shared" si="91"/>
        <v>25.2</v>
      </c>
      <c r="N272" s="7">
        <f t="shared" si="82"/>
        <v>34.033613445378158</v>
      </c>
      <c r="O272" s="7">
        <f t="shared" si="83"/>
        <v>43.392857142857146</v>
      </c>
      <c r="P272" s="4">
        <f t="shared" si="84"/>
        <v>48.214285714285715</v>
      </c>
      <c r="Q272" s="4">
        <f t="shared" si="85"/>
        <v>977.3236134453781</v>
      </c>
      <c r="R272" s="4">
        <f t="shared" si="86"/>
        <v>1246.087607142857</v>
      </c>
      <c r="S272" s="4">
        <f t="shared" si="87"/>
        <v>1384.5417857142859</v>
      </c>
    </row>
    <row r="273" spans="1:19" ht="33" hidden="1" customHeight="1" x14ac:dyDescent="0.25">
      <c r="A273" s="5">
        <v>271</v>
      </c>
      <c r="B273" s="5">
        <v>131</v>
      </c>
      <c r="C273" s="6" t="s">
        <v>277</v>
      </c>
      <c r="D273" s="5">
        <v>544</v>
      </c>
      <c r="E273" s="7">
        <v>2.23</v>
      </c>
      <c r="F273" s="7">
        <f t="shared" si="80"/>
        <v>1213.1199999999999</v>
      </c>
      <c r="G273" s="8">
        <f t="shared" si="88"/>
        <v>1213.1199999999999</v>
      </c>
      <c r="H273" s="4">
        <f t="shared" si="81"/>
        <v>1546.7279999999998</v>
      </c>
      <c r="I273" s="4">
        <f t="shared" si="102"/>
        <v>1718.5866666666666</v>
      </c>
      <c r="J273" s="17">
        <v>1450</v>
      </c>
      <c r="K273" s="7">
        <f t="shared" si="89"/>
        <v>35.699999999999996</v>
      </c>
      <c r="L273" s="7">
        <f t="shared" si="90"/>
        <v>28</v>
      </c>
      <c r="M273" s="7">
        <f t="shared" si="91"/>
        <v>25.2</v>
      </c>
      <c r="N273" s="7">
        <f t="shared" si="82"/>
        <v>40.616246498599445</v>
      </c>
      <c r="O273" s="7">
        <f t="shared" si="83"/>
        <v>51.785714285714285</v>
      </c>
      <c r="P273" s="4">
        <f t="shared" si="84"/>
        <v>57.539682539682538</v>
      </c>
      <c r="Q273" s="4">
        <f t="shared" si="85"/>
        <v>1253.7362464985993</v>
      </c>
      <c r="R273" s="4">
        <f t="shared" si="86"/>
        <v>1598.5137142857141</v>
      </c>
      <c r="S273" s="4">
        <f t="shared" si="87"/>
        <v>1776.1263492063492</v>
      </c>
    </row>
    <row r="274" spans="1:19" ht="33" hidden="1" customHeight="1" x14ac:dyDescent="0.25">
      <c r="A274" s="5">
        <v>272</v>
      </c>
      <c r="B274" s="5">
        <v>132</v>
      </c>
      <c r="C274" s="6" t="s">
        <v>278</v>
      </c>
      <c r="D274" s="5">
        <v>309</v>
      </c>
      <c r="E274" s="7">
        <v>2.23</v>
      </c>
      <c r="F274" s="7">
        <f t="shared" si="80"/>
        <v>689.07</v>
      </c>
      <c r="G274" s="8">
        <f t="shared" si="88"/>
        <v>689.07</v>
      </c>
      <c r="H274" s="4">
        <f t="shared" si="81"/>
        <v>878.56425000000002</v>
      </c>
      <c r="I274" s="4">
        <f t="shared" si="102"/>
        <v>976.1825</v>
      </c>
      <c r="J274" s="17">
        <v>365</v>
      </c>
      <c r="K274" s="7">
        <f t="shared" si="89"/>
        <v>35.699999999999996</v>
      </c>
      <c r="L274" s="7">
        <f t="shared" si="90"/>
        <v>28</v>
      </c>
      <c r="M274" s="7">
        <f t="shared" si="91"/>
        <v>25.2</v>
      </c>
      <c r="N274" s="7">
        <f t="shared" si="82"/>
        <v>10.224089635854343</v>
      </c>
      <c r="O274" s="7">
        <f t="shared" si="83"/>
        <v>13.035714285714286</v>
      </c>
      <c r="P274" s="4">
        <f t="shared" si="84"/>
        <v>14.484126984126984</v>
      </c>
      <c r="Q274" s="4">
        <f t="shared" si="85"/>
        <v>699.29408963585445</v>
      </c>
      <c r="R274" s="4">
        <f t="shared" si="86"/>
        <v>891.59996428571435</v>
      </c>
      <c r="S274" s="4">
        <f t="shared" si="87"/>
        <v>990.66662698412699</v>
      </c>
    </row>
    <row r="275" spans="1:19" ht="33" hidden="1" customHeight="1" x14ac:dyDescent="0.25">
      <c r="A275" s="5">
        <v>273</v>
      </c>
      <c r="B275" s="5">
        <v>134</v>
      </c>
      <c r="C275" s="6" t="s">
        <v>279</v>
      </c>
      <c r="D275" s="5">
        <v>287</v>
      </c>
      <c r="E275" s="7">
        <v>2.23</v>
      </c>
      <c r="F275" s="7">
        <f t="shared" si="80"/>
        <v>640.01</v>
      </c>
      <c r="G275" s="8">
        <f t="shared" si="88"/>
        <v>640.01</v>
      </c>
      <c r="H275" s="4">
        <f t="shared" si="81"/>
        <v>816.01274999999998</v>
      </c>
      <c r="I275" s="4">
        <f t="shared" si="102"/>
        <v>906.68083333333334</v>
      </c>
      <c r="J275" s="17">
        <v>260</v>
      </c>
      <c r="K275" s="7">
        <f t="shared" si="89"/>
        <v>35.699999999999996</v>
      </c>
      <c r="L275" s="7">
        <f t="shared" si="90"/>
        <v>28</v>
      </c>
      <c r="M275" s="7">
        <f t="shared" si="91"/>
        <v>25.2</v>
      </c>
      <c r="N275" s="7">
        <f t="shared" si="82"/>
        <v>7.2829131652661072</v>
      </c>
      <c r="O275" s="7">
        <f t="shared" si="83"/>
        <v>9.2857142857142865</v>
      </c>
      <c r="P275" s="4">
        <f t="shared" si="84"/>
        <v>10.317460317460318</v>
      </c>
      <c r="Q275" s="4">
        <f t="shared" si="85"/>
        <v>647.2929131652661</v>
      </c>
      <c r="R275" s="4">
        <f t="shared" si="86"/>
        <v>825.29846428571432</v>
      </c>
      <c r="S275" s="4">
        <f t="shared" si="87"/>
        <v>916.9982936507937</v>
      </c>
    </row>
    <row r="276" spans="1:19" ht="33" hidden="1" customHeight="1" x14ac:dyDescent="0.25">
      <c r="A276" s="5">
        <v>274</v>
      </c>
      <c r="B276" s="5">
        <v>135</v>
      </c>
      <c r="C276" s="6" t="s">
        <v>280</v>
      </c>
      <c r="D276" s="5">
        <v>308</v>
      </c>
      <c r="E276" s="7">
        <v>2.23</v>
      </c>
      <c r="F276" s="7">
        <f t="shared" si="80"/>
        <v>686.84</v>
      </c>
      <c r="G276" s="8">
        <f t="shared" si="88"/>
        <v>686.84</v>
      </c>
      <c r="H276" s="4">
        <f t="shared" si="81"/>
        <v>875.721</v>
      </c>
      <c r="I276" s="4">
        <f t="shared" si="102"/>
        <v>973.02333333333343</v>
      </c>
      <c r="J276" s="17">
        <v>135</v>
      </c>
      <c r="K276" s="7">
        <f t="shared" si="89"/>
        <v>35.699999999999996</v>
      </c>
      <c r="L276" s="7">
        <f t="shared" si="90"/>
        <v>28</v>
      </c>
      <c r="M276" s="7">
        <f t="shared" si="91"/>
        <v>25.2</v>
      </c>
      <c r="N276" s="7">
        <f t="shared" si="82"/>
        <v>3.7815126050420171</v>
      </c>
      <c r="O276" s="7">
        <f t="shared" si="83"/>
        <v>4.8214285714285712</v>
      </c>
      <c r="P276" s="4">
        <f t="shared" si="84"/>
        <v>5.3571428571428577</v>
      </c>
      <c r="Q276" s="4">
        <f t="shared" si="85"/>
        <v>690.62151260504208</v>
      </c>
      <c r="R276" s="4">
        <f t="shared" si="86"/>
        <v>880.54242857142856</v>
      </c>
      <c r="S276" s="4">
        <f t="shared" si="87"/>
        <v>978.38047619047632</v>
      </c>
    </row>
    <row r="277" spans="1:19" ht="33" hidden="1" customHeight="1" x14ac:dyDescent="0.25">
      <c r="A277" s="5">
        <v>275</v>
      </c>
      <c r="B277" s="5">
        <v>136</v>
      </c>
      <c r="C277" s="6" t="s">
        <v>281</v>
      </c>
      <c r="D277" s="5">
        <v>258</v>
      </c>
      <c r="E277" s="7">
        <v>2.23</v>
      </c>
      <c r="F277" s="7">
        <f t="shared" si="80"/>
        <v>575.34</v>
      </c>
      <c r="G277" s="8">
        <f t="shared" si="88"/>
        <v>575.34</v>
      </c>
      <c r="H277" s="4">
        <f t="shared" si="81"/>
        <v>733.55849999999998</v>
      </c>
      <c r="I277" s="4">
        <f t="shared" si="102"/>
        <v>815.06500000000005</v>
      </c>
      <c r="J277" s="17">
        <v>0</v>
      </c>
      <c r="K277" s="7">
        <f t="shared" si="89"/>
        <v>35.699999999999996</v>
      </c>
      <c r="L277" s="7">
        <f t="shared" si="90"/>
        <v>28</v>
      </c>
      <c r="M277" s="7">
        <f t="shared" si="91"/>
        <v>25.2</v>
      </c>
      <c r="N277" s="7">
        <f t="shared" si="82"/>
        <v>0</v>
      </c>
      <c r="O277" s="7">
        <f t="shared" si="83"/>
        <v>0</v>
      </c>
      <c r="P277" s="4">
        <f t="shared" si="84"/>
        <v>0</v>
      </c>
      <c r="Q277" s="4">
        <f t="shared" si="85"/>
        <v>575.34</v>
      </c>
      <c r="R277" s="4">
        <f t="shared" si="86"/>
        <v>733.55849999999998</v>
      </c>
      <c r="S277" s="4">
        <f t="shared" si="87"/>
        <v>815.06500000000005</v>
      </c>
    </row>
    <row r="278" spans="1:19" ht="33" hidden="1" customHeight="1" x14ac:dyDescent="0.25">
      <c r="A278" s="5">
        <v>276</v>
      </c>
      <c r="B278" s="5">
        <v>137</v>
      </c>
      <c r="C278" s="6" t="s">
        <v>282</v>
      </c>
      <c r="D278" s="5">
        <v>281</v>
      </c>
      <c r="E278" s="7">
        <v>2.23</v>
      </c>
      <c r="F278" s="7">
        <f t="shared" si="80"/>
        <v>626.63</v>
      </c>
      <c r="G278" s="8">
        <f t="shared" si="88"/>
        <v>626.63</v>
      </c>
      <c r="H278" s="4">
        <f t="shared" si="81"/>
        <v>798.95324999999991</v>
      </c>
      <c r="I278" s="4">
        <f t="shared" si="102"/>
        <v>887.72583333333341</v>
      </c>
      <c r="J278" s="17">
        <v>450</v>
      </c>
      <c r="K278" s="7">
        <f t="shared" si="89"/>
        <v>35.699999999999996</v>
      </c>
      <c r="L278" s="7">
        <f t="shared" si="90"/>
        <v>28</v>
      </c>
      <c r="M278" s="7">
        <f t="shared" si="91"/>
        <v>25.2</v>
      </c>
      <c r="N278" s="7">
        <f t="shared" si="82"/>
        <v>12.605042016806724</v>
      </c>
      <c r="O278" s="7">
        <f t="shared" si="83"/>
        <v>16.071428571428573</v>
      </c>
      <c r="P278" s="4">
        <f t="shared" si="84"/>
        <v>17.857142857142858</v>
      </c>
      <c r="Q278" s="4">
        <f t="shared" si="85"/>
        <v>639.23504201680669</v>
      </c>
      <c r="R278" s="4">
        <f t="shared" si="86"/>
        <v>815.02467857142847</v>
      </c>
      <c r="S278" s="4">
        <f t="shared" si="87"/>
        <v>905.5829761904763</v>
      </c>
    </row>
    <row r="279" spans="1:19" ht="33" hidden="1" customHeight="1" x14ac:dyDescent="0.25">
      <c r="A279" s="5">
        <v>277</v>
      </c>
      <c r="B279" s="5">
        <v>139</v>
      </c>
      <c r="C279" s="6" t="s">
        <v>283</v>
      </c>
      <c r="D279" s="5">
        <v>198</v>
      </c>
      <c r="E279" s="7">
        <v>2.23</v>
      </c>
      <c r="F279" s="7">
        <f t="shared" si="80"/>
        <v>441.54</v>
      </c>
      <c r="G279" s="8">
        <f t="shared" si="88"/>
        <v>441.54</v>
      </c>
      <c r="H279" s="4">
        <f t="shared" si="81"/>
        <v>562.96349999999995</v>
      </c>
      <c r="I279" s="4">
        <f t="shared" si="102"/>
        <v>625.51499999999999</v>
      </c>
      <c r="J279" s="17">
        <v>1215</v>
      </c>
      <c r="K279" s="7">
        <f t="shared" si="89"/>
        <v>35.699999999999996</v>
      </c>
      <c r="L279" s="7">
        <f t="shared" si="90"/>
        <v>28</v>
      </c>
      <c r="M279" s="7">
        <f t="shared" si="91"/>
        <v>25.2</v>
      </c>
      <c r="N279" s="7">
        <f t="shared" si="82"/>
        <v>34.033613445378158</v>
      </c>
      <c r="O279" s="7">
        <f t="shared" si="83"/>
        <v>43.392857142857146</v>
      </c>
      <c r="P279" s="4">
        <f t="shared" si="84"/>
        <v>48.214285714285715</v>
      </c>
      <c r="Q279" s="4">
        <f t="shared" si="85"/>
        <v>475.57361344537816</v>
      </c>
      <c r="R279" s="4">
        <f t="shared" si="86"/>
        <v>606.35635714285706</v>
      </c>
      <c r="S279" s="4">
        <f t="shared" si="87"/>
        <v>673.72928571428565</v>
      </c>
    </row>
    <row r="280" spans="1:19" ht="33" hidden="1" customHeight="1" x14ac:dyDescent="0.25">
      <c r="A280" s="5">
        <v>278</v>
      </c>
      <c r="B280" s="5">
        <v>141</v>
      </c>
      <c r="C280" s="6" t="s">
        <v>284</v>
      </c>
      <c r="D280" s="5">
        <v>434</v>
      </c>
      <c r="E280" s="7">
        <v>2.23</v>
      </c>
      <c r="F280" s="7">
        <f t="shared" si="80"/>
        <v>967.81999999999994</v>
      </c>
      <c r="G280" s="8">
        <f t="shared" si="88"/>
        <v>967.81999999999994</v>
      </c>
      <c r="H280" s="4">
        <f t="shared" si="81"/>
        <v>1233.9704999999999</v>
      </c>
      <c r="I280" s="4">
        <f t="shared" si="102"/>
        <v>1371.0783333333334</v>
      </c>
      <c r="J280" s="17">
        <v>245</v>
      </c>
      <c r="K280" s="7">
        <f t="shared" si="89"/>
        <v>35.699999999999996</v>
      </c>
      <c r="L280" s="7">
        <f t="shared" si="90"/>
        <v>28</v>
      </c>
      <c r="M280" s="7">
        <f t="shared" si="91"/>
        <v>25.2</v>
      </c>
      <c r="N280" s="7">
        <f t="shared" si="82"/>
        <v>6.8627450980392162</v>
      </c>
      <c r="O280" s="7">
        <f t="shared" si="83"/>
        <v>8.75</v>
      </c>
      <c r="P280" s="4">
        <f t="shared" si="84"/>
        <v>9.7222222222222232</v>
      </c>
      <c r="Q280" s="4">
        <f t="shared" si="85"/>
        <v>974.68274509803916</v>
      </c>
      <c r="R280" s="4">
        <f t="shared" si="86"/>
        <v>1242.7204999999999</v>
      </c>
      <c r="S280" s="4">
        <f t="shared" si="87"/>
        <v>1380.8005555555555</v>
      </c>
    </row>
    <row r="281" spans="1:19" ht="33" hidden="1" customHeight="1" x14ac:dyDescent="0.25">
      <c r="A281" s="5">
        <v>279</v>
      </c>
      <c r="B281" s="5">
        <v>142</v>
      </c>
      <c r="C281" s="6" t="s">
        <v>285</v>
      </c>
      <c r="D281" s="5">
        <v>434</v>
      </c>
      <c r="E281" s="7">
        <v>2.23</v>
      </c>
      <c r="F281" s="7">
        <f t="shared" si="80"/>
        <v>967.81999999999994</v>
      </c>
      <c r="G281" s="8">
        <f t="shared" si="88"/>
        <v>967.81999999999994</v>
      </c>
      <c r="H281" s="4">
        <f t="shared" si="81"/>
        <v>1233.9704999999999</v>
      </c>
      <c r="I281" s="4">
        <f t="shared" si="102"/>
        <v>1371.0783333333334</v>
      </c>
      <c r="J281" s="17">
        <v>335</v>
      </c>
      <c r="K281" s="7">
        <f t="shared" si="89"/>
        <v>35.699999999999996</v>
      </c>
      <c r="L281" s="7">
        <f t="shared" si="90"/>
        <v>28</v>
      </c>
      <c r="M281" s="7">
        <f t="shared" si="91"/>
        <v>25.2</v>
      </c>
      <c r="N281" s="7">
        <f t="shared" si="82"/>
        <v>9.3837535014005606</v>
      </c>
      <c r="O281" s="7">
        <f t="shared" si="83"/>
        <v>11.964285714285714</v>
      </c>
      <c r="P281" s="4">
        <f t="shared" si="84"/>
        <v>13.293650793650794</v>
      </c>
      <c r="Q281" s="4">
        <f t="shared" si="85"/>
        <v>977.20375350140046</v>
      </c>
      <c r="R281" s="4">
        <f t="shared" si="86"/>
        <v>1245.9347857142857</v>
      </c>
      <c r="S281" s="4">
        <f t="shared" si="87"/>
        <v>1384.3719841269842</v>
      </c>
    </row>
    <row r="282" spans="1:19" ht="33" hidden="1" customHeight="1" x14ac:dyDescent="0.25">
      <c r="A282" s="5">
        <v>280</v>
      </c>
      <c r="B282" s="5">
        <v>143</v>
      </c>
      <c r="C282" s="6" t="s">
        <v>286</v>
      </c>
      <c r="D282" s="5">
        <v>340</v>
      </c>
      <c r="E282" s="7">
        <v>2.23</v>
      </c>
      <c r="F282" s="7">
        <f t="shared" si="80"/>
        <v>758.2</v>
      </c>
      <c r="G282" s="8">
        <f t="shared" si="88"/>
        <v>758.2</v>
      </c>
      <c r="H282" s="4">
        <f t="shared" si="81"/>
        <v>966.70500000000004</v>
      </c>
      <c r="I282" s="4">
        <f t="shared" si="102"/>
        <v>1074.1166666666668</v>
      </c>
      <c r="J282" s="17">
        <v>505</v>
      </c>
      <c r="K282" s="7">
        <f t="shared" si="89"/>
        <v>35.699999999999996</v>
      </c>
      <c r="L282" s="7">
        <f t="shared" si="90"/>
        <v>28</v>
      </c>
      <c r="M282" s="7">
        <f t="shared" si="91"/>
        <v>25.2</v>
      </c>
      <c r="N282" s="7">
        <f t="shared" si="82"/>
        <v>14.145658263305323</v>
      </c>
      <c r="O282" s="7">
        <f t="shared" si="83"/>
        <v>18.035714285714285</v>
      </c>
      <c r="P282" s="4">
        <f t="shared" si="84"/>
        <v>20.039682539682541</v>
      </c>
      <c r="Q282" s="4">
        <f t="shared" si="85"/>
        <v>772.34565826330538</v>
      </c>
      <c r="R282" s="4">
        <f t="shared" si="86"/>
        <v>984.74071428571438</v>
      </c>
      <c r="S282" s="4">
        <f t="shared" si="87"/>
        <v>1094.1563492063494</v>
      </c>
    </row>
    <row r="283" spans="1:19" ht="33" hidden="1" customHeight="1" x14ac:dyDescent="0.25">
      <c r="A283" s="5">
        <v>281</v>
      </c>
      <c r="B283" s="5">
        <v>144</v>
      </c>
      <c r="C283" s="6" t="s">
        <v>287</v>
      </c>
      <c r="D283" s="5">
        <v>452</v>
      </c>
      <c r="E283" s="7">
        <v>2.23</v>
      </c>
      <c r="F283" s="7">
        <f t="shared" si="80"/>
        <v>1007.96</v>
      </c>
      <c r="G283" s="8">
        <f t="shared" si="88"/>
        <v>1007.96</v>
      </c>
      <c r="H283" s="4">
        <f t="shared" si="81"/>
        <v>1285.1489999999999</v>
      </c>
      <c r="I283" s="4">
        <f t="shared" si="102"/>
        <v>1427.9433333333334</v>
      </c>
      <c r="J283" s="17">
        <v>245</v>
      </c>
      <c r="K283" s="7">
        <f t="shared" si="89"/>
        <v>35.699999999999996</v>
      </c>
      <c r="L283" s="7">
        <f t="shared" si="90"/>
        <v>28</v>
      </c>
      <c r="M283" s="7">
        <f t="shared" si="91"/>
        <v>25.2</v>
      </c>
      <c r="N283" s="7">
        <f t="shared" si="82"/>
        <v>6.8627450980392162</v>
      </c>
      <c r="O283" s="7">
        <f t="shared" si="83"/>
        <v>8.75</v>
      </c>
      <c r="P283" s="4">
        <f t="shared" si="84"/>
        <v>9.7222222222222232</v>
      </c>
      <c r="Q283" s="4">
        <f t="shared" si="85"/>
        <v>1014.8227450980393</v>
      </c>
      <c r="R283" s="4">
        <f t="shared" si="86"/>
        <v>1293.8989999999999</v>
      </c>
      <c r="S283" s="4">
        <f t="shared" si="87"/>
        <v>1437.6655555555556</v>
      </c>
    </row>
    <row r="284" spans="1:19" ht="33" hidden="1" customHeight="1" x14ac:dyDescent="0.25">
      <c r="A284" s="5">
        <v>282</v>
      </c>
      <c r="B284" s="5">
        <v>145</v>
      </c>
      <c r="C284" s="6" t="s">
        <v>288</v>
      </c>
      <c r="D284" s="5">
        <v>306</v>
      </c>
      <c r="E284" s="7">
        <v>2.23</v>
      </c>
      <c r="F284" s="7">
        <f t="shared" si="80"/>
        <v>682.38</v>
      </c>
      <c r="G284" s="8">
        <f t="shared" si="88"/>
        <v>682.38</v>
      </c>
      <c r="H284" s="4">
        <f t="shared" si="81"/>
        <v>870.03449999999998</v>
      </c>
      <c r="I284" s="4">
        <f t="shared" si="102"/>
        <v>966.70499999999993</v>
      </c>
      <c r="J284" s="17">
        <v>950</v>
      </c>
      <c r="K284" s="7">
        <f t="shared" si="89"/>
        <v>35.699999999999996</v>
      </c>
      <c r="L284" s="7">
        <f t="shared" si="90"/>
        <v>28</v>
      </c>
      <c r="M284" s="7">
        <f t="shared" si="91"/>
        <v>25.2</v>
      </c>
      <c r="N284" s="7">
        <f t="shared" si="82"/>
        <v>26.610644257703086</v>
      </c>
      <c r="O284" s="7">
        <f t="shared" si="83"/>
        <v>33.928571428571431</v>
      </c>
      <c r="P284" s="4">
        <f t="shared" si="84"/>
        <v>37.698412698412696</v>
      </c>
      <c r="Q284" s="4">
        <f t="shared" si="85"/>
        <v>708.99064425770302</v>
      </c>
      <c r="R284" s="4">
        <f t="shared" si="86"/>
        <v>903.96307142857142</v>
      </c>
      <c r="S284" s="4">
        <f t="shared" si="87"/>
        <v>1004.4034126984126</v>
      </c>
    </row>
    <row r="285" spans="1:19" ht="33" hidden="1" customHeight="1" x14ac:dyDescent="0.25">
      <c r="A285" s="5">
        <v>283</v>
      </c>
      <c r="B285" s="5">
        <v>146</v>
      </c>
      <c r="C285" s="6" t="s">
        <v>289</v>
      </c>
      <c r="D285" s="5">
        <v>362</v>
      </c>
      <c r="E285" s="7">
        <v>2.23</v>
      </c>
      <c r="F285" s="7">
        <f t="shared" si="80"/>
        <v>807.26</v>
      </c>
      <c r="G285" s="8">
        <f t="shared" si="88"/>
        <v>807.26</v>
      </c>
      <c r="H285" s="4">
        <f t="shared" si="81"/>
        <v>1029.2565</v>
      </c>
      <c r="I285" s="4">
        <f t="shared" si="102"/>
        <v>1143.6183333333333</v>
      </c>
      <c r="J285" s="17">
        <v>535</v>
      </c>
      <c r="K285" s="7">
        <f t="shared" si="89"/>
        <v>35.699999999999996</v>
      </c>
      <c r="L285" s="7">
        <f t="shared" si="90"/>
        <v>28</v>
      </c>
      <c r="M285" s="7">
        <f t="shared" si="91"/>
        <v>25.2</v>
      </c>
      <c r="N285" s="7">
        <f t="shared" si="82"/>
        <v>14.985994397759105</v>
      </c>
      <c r="O285" s="7">
        <f t="shared" si="83"/>
        <v>19.107142857142858</v>
      </c>
      <c r="P285" s="4">
        <f t="shared" si="84"/>
        <v>21.230158730158731</v>
      </c>
      <c r="Q285" s="4">
        <f t="shared" si="85"/>
        <v>822.24599439775909</v>
      </c>
      <c r="R285" s="4">
        <f t="shared" si="86"/>
        <v>1048.3636428571428</v>
      </c>
      <c r="S285" s="4">
        <f t="shared" si="87"/>
        <v>1164.8484920634921</v>
      </c>
    </row>
    <row r="286" spans="1:19" ht="33" hidden="1" customHeight="1" x14ac:dyDescent="0.25">
      <c r="A286" s="5">
        <v>284</v>
      </c>
      <c r="B286" s="5">
        <v>148</v>
      </c>
      <c r="C286" s="6" t="s">
        <v>290</v>
      </c>
      <c r="D286" s="5">
        <v>396</v>
      </c>
      <c r="E286" s="7">
        <v>2.23</v>
      </c>
      <c r="F286" s="7">
        <f t="shared" si="80"/>
        <v>883.08</v>
      </c>
      <c r="G286" s="8">
        <f t="shared" si="88"/>
        <v>883.08</v>
      </c>
      <c r="H286" s="4">
        <f t="shared" si="81"/>
        <v>1125.9269999999999</v>
      </c>
      <c r="I286" s="4">
        <f t="shared" si="102"/>
        <v>1251.03</v>
      </c>
      <c r="J286" s="17">
        <v>165</v>
      </c>
      <c r="K286" s="7">
        <f t="shared" si="89"/>
        <v>35.699999999999996</v>
      </c>
      <c r="L286" s="7">
        <f t="shared" si="90"/>
        <v>28</v>
      </c>
      <c r="M286" s="7">
        <f t="shared" si="91"/>
        <v>25.2</v>
      </c>
      <c r="N286" s="7">
        <f t="shared" si="82"/>
        <v>4.6218487394957988</v>
      </c>
      <c r="O286" s="7">
        <f t="shared" si="83"/>
        <v>5.8928571428571432</v>
      </c>
      <c r="P286" s="4">
        <f t="shared" si="84"/>
        <v>6.5476190476190474</v>
      </c>
      <c r="Q286" s="4">
        <f t="shared" si="85"/>
        <v>887.70184873949586</v>
      </c>
      <c r="R286" s="4">
        <f t="shared" si="86"/>
        <v>1131.819857142857</v>
      </c>
      <c r="S286" s="4">
        <f t="shared" si="87"/>
        <v>1257.577619047619</v>
      </c>
    </row>
    <row r="287" spans="1:19" ht="33" hidden="1" customHeight="1" x14ac:dyDescent="0.25">
      <c r="A287" s="5">
        <v>285</v>
      </c>
      <c r="B287" s="5">
        <v>150</v>
      </c>
      <c r="C287" s="6" t="s">
        <v>291</v>
      </c>
      <c r="D287" s="5">
        <v>347</v>
      </c>
      <c r="E287" s="7">
        <v>2.23</v>
      </c>
      <c r="F287" s="7">
        <f t="shared" si="80"/>
        <v>773.81</v>
      </c>
      <c r="G287" s="8">
        <f t="shared" si="88"/>
        <v>773.81</v>
      </c>
      <c r="H287" s="4">
        <f t="shared" si="81"/>
        <v>986.6077499999999</v>
      </c>
      <c r="I287" s="4">
        <f t="shared" si="102"/>
        <v>1096.2308333333333</v>
      </c>
      <c r="J287" s="17">
        <v>245</v>
      </c>
      <c r="K287" s="7">
        <f t="shared" si="89"/>
        <v>35.699999999999996</v>
      </c>
      <c r="L287" s="7">
        <f t="shared" si="90"/>
        <v>28</v>
      </c>
      <c r="M287" s="7">
        <f t="shared" si="91"/>
        <v>25.2</v>
      </c>
      <c r="N287" s="7">
        <f t="shared" si="82"/>
        <v>6.8627450980392162</v>
      </c>
      <c r="O287" s="7">
        <f t="shared" si="83"/>
        <v>8.75</v>
      </c>
      <c r="P287" s="4">
        <f t="shared" si="84"/>
        <v>9.7222222222222232</v>
      </c>
      <c r="Q287" s="4">
        <f t="shared" si="85"/>
        <v>780.67274509803917</v>
      </c>
      <c r="R287" s="4">
        <f t="shared" si="86"/>
        <v>995.3577499999999</v>
      </c>
      <c r="S287" s="4">
        <f t="shared" si="87"/>
        <v>1105.9530555555555</v>
      </c>
    </row>
    <row r="288" spans="1:19" ht="33" hidden="1" customHeight="1" x14ac:dyDescent="0.25">
      <c r="A288" s="5">
        <v>286</v>
      </c>
      <c r="B288" s="5">
        <v>151</v>
      </c>
      <c r="C288" s="6" t="s">
        <v>292</v>
      </c>
      <c r="D288" s="5">
        <v>186</v>
      </c>
      <c r="E288" s="7">
        <v>2.23</v>
      </c>
      <c r="F288" s="7">
        <f t="shared" si="80"/>
        <v>414.78</v>
      </c>
      <c r="G288" s="8">
        <f t="shared" si="88"/>
        <v>414.78</v>
      </c>
      <c r="H288" s="4">
        <f t="shared" si="81"/>
        <v>528.84449999999993</v>
      </c>
      <c r="I288" s="4">
        <f t="shared" si="102"/>
        <v>587.60500000000002</v>
      </c>
      <c r="J288" s="17">
        <v>90</v>
      </c>
      <c r="K288" s="7">
        <f t="shared" si="89"/>
        <v>35.699999999999996</v>
      </c>
      <c r="L288" s="7">
        <f t="shared" si="90"/>
        <v>28</v>
      </c>
      <c r="M288" s="7">
        <f t="shared" si="91"/>
        <v>25.2</v>
      </c>
      <c r="N288" s="7">
        <f t="shared" si="82"/>
        <v>2.5210084033613449</v>
      </c>
      <c r="O288" s="7">
        <f t="shared" si="83"/>
        <v>3.2142857142857144</v>
      </c>
      <c r="P288" s="4">
        <f t="shared" si="84"/>
        <v>3.5714285714285716</v>
      </c>
      <c r="Q288" s="4">
        <f t="shared" si="85"/>
        <v>417.30100840336132</v>
      </c>
      <c r="R288" s="4">
        <f t="shared" si="86"/>
        <v>532.05878571428559</v>
      </c>
      <c r="S288" s="4">
        <f t="shared" si="87"/>
        <v>591.17642857142857</v>
      </c>
    </row>
    <row r="289" spans="1:19" ht="33" hidden="1" customHeight="1" x14ac:dyDescent="0.25">
      <c r="A289" s="5">
        <v>287</v>
      </c>
      <c r="B289" s="5">
        <v>152</v>
      </c>
      <c r="C289" s="6" t="s">
        <v>293</v>
      </c>
      <c r="D289" s="5">
        <v>553</v>
      </c>
      <c r="E289" s="7">
        <v>2.23</v>
      </c>
      <c r="F289" s="7">
        <f t="shared" si="80"/>
        <v>1233.19</v>
      </c>
      <c r="G289" s="8">
        <f t="shared" si="88"/>
        <v>1233.19</v>
      </c>
      <c r="H289" s="4">
        <f t="shared" si="81"/>
        <v>1572.3172500000001</v>
      </c>
      <c r="I289" s="4">
        <f t="shared" si="102"/>
        <v>1747.0191666666667</v>
      </c>
      <c r="J289" s="17">
        <v>3300</v>
      </c>
      <c r="K289" s="7">
        <f t="shared" si="89"/>
        <v>35.699999999999996</v>
      </c>
      <c r="L289" s="7">
        <f t="shared" si="90"/>
        <v>28</v>
      </c>
      <c r="M289" s="7">
        <f t="shared" si="91"/>
        <v>25.2</v>
      </c>
      <c r="N289" s="7">
        <f t="shared" si="82"/>
        <v>92.436974789915979</v>
      </c>
      <c r="O289" s="7">
        <f t="shared" si="83"/>
        <v>117.85714285714286</v>
      </c>
      <c r="P289" s="4">
        <f t="shared" si="84"/>
        <v>130.95238095238096</v>
      </c>
      <c r="Q289" s="4">
        <f t="shared" si="85"/>
        <v>1325.6269747899159</v>
      </c>
      <c r="R289" s="4">
        <f t="shared" si="86"/>
        <v>1690.1743928571429</v>
      </c>
      <c r="S289" s="4">
        <f t="shared" si="87"/>
        <v>1877.9715476190477</v>
      </c>
    </row>
    <row r="290" spans="1:19" ht="33" hidden="1" customHeight="1" x14ac:dyDescent="0.25">
      <c r="A290" s="5">
        <v>288</v>
      </c>
      <c r="B290" s="5">
        <v>153</v>
      </c>
      <c r="C290" s="6" t="s">
        <v>294</v>
      </c>
      <c r="D290" s="5">
        <v>156</v>
      </c>
      <c r="E290" s="7">
        <v>2.23</v>
      </c>
      <c r="F290" s="7">
        <f t="shared" ref="F290:F353" si="103">D290*E290</f>
        <v>347.88</v>
      </c>
      <c r="G290" s="8">
        <f t="shared" si="88"/>
        <v>347.88</v>
      </c>
      <c r="H290" s="4">
        <f t="shared" ref="H290:H353" si="104">F290*(51/40)</f>
        <v>443.54699999999997</v>
      </c>
      <c r="I290" s="4">
        <f t="shared" si="102"/>
        <v>492.83000000000004</v>
      </c>
      <c r="J290" s="17">
        <v>260</v>
      </c>
      <c r="K290" s="7">
        <f t="shared" si="89"/>
        <v>35.699999999999996</v>
      </c>
      <c r="L290" s="7">
        <f t="shared" si="90"/>
        <v>28</v>
      </c>
      <c r="M290" s="7">
        <f t="shared" si="91"/>
        <v>25.2</v>
      </c>
      <c r="N290" s="7">
        <f t="shared" ref="N290:N353" si="105">J290/K290</f>
        <v>7.2829131652661072</v>
      </c>
      <c r="O290" s="7">
        <f t="shared" ref="O290:O353" si="106">J290/L290</f>
        <v>9.2857142857142865</v>
      </c>
      <c r="P290" s="4">
        <f t="shared" ref="P290:P353" si="107">J290/M290</f>
        <v>10.317460317460318</v>
      </c>
      <c r="Q290" s="4">
        <f t="shared" ref="Q290:Q353" si="108">F290+N290</f>
        <v>355.1629131652661</v>
      </c>
      <c r="R290" s="4">
        <f t="shared" ref="R290:R353" si="109">H290+O290</f>
        <v>452.83271428571425</v>
      </c>
      <c r="S290" s="4">
        <f t="shared" ref="S290:S353" si="110">I290+P290</f>
        <v>503.14746031746034</v>
      </c>
    </row>
    <row r="291" spans="1:19" ht="33" hidden="1" customHeight="1" x14ac:dyDescent="0.25">
      <c r="A291" s="5">
        <v>289</v>
      </c>
      <c r="B291" s="5">
        <v>154</v>
      </c>
      <c r="C291" s="6" t="s">
        <v>295</v>
      </c>
      <c r="D291" s="5">
        <v>140</v>
      </c>
      <c r="E291" s="7">
        <v>2.23</v>
      </c>
      <c r="F291" s="7">
        <f t="shared" si="103"/>
        <v>312.2</v>
      </c>
      <c r="G291" s="8">
        <f t="shared" si="88"/>
        <v>312.2</v>
      </c>
      <c r="H291" s="4">
        <f t="shared" si="104"/>
        <v>398.05499999999995</v>
      </c>
      <c r="I291" s="4">
        <f t="shared" si="102"/>
        <v>442.2833333333333</v>
      </c>
      <c r="J291" s="17">
        <v>395</v>
      </c>
      <c r="K291" s="7">
        <f t="shared" si="89"/>
        <v>35.699999999999996</v>
      </c>
      <c r="L291" s="7">
        <f t="shared" si="90"/>
        <v>28</v>
      </c>
      <c r="M291" s="7">
        <f t="shared" si="91"/>
        <v>25.2</v>
      </c>
      <c r="N291" s="7">
        <f t="shared" si="105"/>
        <v>11.064425770308125</v>
      </c>
      <c r="O291" s="7">
        <f t="shared" si="106"/>
        <v>14.107142857142858</v>
      </c>
      <c r="P291" s="4">
        <f t="shared" si="107"/>
        <v>15.674603174603176</v>
      </c>
      <c r="Q291" s="4">
        <f t="shared" si="108"/>
        <v>323.26442577030809</v>
      </c>
      <c r="R291" s="4">
        <f t="shared" si="109"/>
        <v>412.16214285714278</v>
      </c>
      <c r="S291" s="4">
        <f t="shared" si="110"/>
        <v>457.95793650793649</v>
      </c>
    </row>
    <row r="292" spans="1:19" ht="33" hidden="1" customHeight="1" x14ac:dyDescent="0.25">
      <c r="A292" s="5">
        <v>290</v>
      </c>
      <c r="B292" s="5">
        <v>162</v>
      </c>
      <c r="C292" s="6" t="s">
        <v>296</v>
      </c>
      <c r="D292" s="5">
        <v>279</v>
      </c>
      <c r="E292" s="7">
        <v>2.23</v>
      </c>
      <c r="F292" s="7">
        <f t="shared" si="103"/>
        <v>622.16999999999996</v>
      </c>
      <c r="G292" s="8">
        <f t="shared" ref="G292:G355" si="111">F292*(51/51)</f>
        <v>622.16999999999996</v>
      </c>
      <c r="H292" s="4">
        <f t="shared" si="104"/>
        <v>793.26674999999989</v>
      </c>
      <c r="I292" s="4">
        <f t="shared" si="102"/>
        <v>881.40749999999991</v>
      </c>
      <c r="J292" s="17">
        <v>265</v>
      </c>
      <c r="K292" s="7">
        <f t="shared" ref="K292:K355" si="112">51*0.7</f>
        <v>35.699999999999996</v>
      </c>
      <c r="L292" s="7">
        <f t="shared" ref="L292:L355" si="113">40*0.7</f>
        <v>28</v>
      </c>
      <c r="M292" s="7">
        <f t="shared" ref="M292:M355" si="114">36*0.7</f>
        <v>25.2</v>
      </c>
      <c r="N292" s="7">
        <f t="shared" si="105"/>
        <v>7.4229691876750712</v>
      </c>
      <c r="O292" s="7">
        <f t="shared" si="106"/>
        <v>9.4642857142857135</v>
      </c>
      <c r="P292" s="4">
        <f t="shared" si="107"/>
        <v>10.515873015873016</v>
      </c>
      <c r="Q292" s="4">
        <f t="shared" si="108"/>
        <v>629.59296918767507</v>
      </c>
      <c r="R292" s="4">
        <f t="shared" si="109"/>
        <v>802.73103571428555</v>
      </c>
      <c r="S292" s="4">
        <f t="shared" si="110"/>
        <v>891.92337301587293</v>
      </c>
    </row>
    <row r="293" spans="1:19" ht="33" hidden="1" customHeight="1" x14ac:dyDescent="0.25">
      <c r="A293" s="5">
        <v>291</v>
      </c>
      <c r="B293" s="5">
        <v>163</v>
      </c>
      <c r="C293" s="6" t="s">
        <v>297</v>
      </c>
      <c r="D293" s="5">
        <v>242</v>
      </c>
      <c r="E293" s="7">
        <v>2.23</v>
      </c>
      <c r="F293" s="7">
        <f t="shared" si="103"/>
        <v>539.66</v>
      </c>
      <c r="G293" s="8">
        <f t="shared" si="111"/>
        <v>539.66</v>
      </c>
      <c r="H293" s="4">
        <f t="shared" si="104"/>
        <v>688.06649999999991</v>
      </c>
      <c r="I293" s="4">
        <f t="shared" si="102"/>
        <v>764.51833333333332</v>
      </c>
      <c r="J293" s="17">
        <v>1000</v>
      </c>
      <c r="K293" s="7">
        <f t="shared" si="112"/>
        <v>35.699999999999996</v>
      </c>
      <c r="L293" s="7">
        <f t="shared" si="113"/>
        <v>28</v>
      </c>
      <c r="M293" s="7">
        <f t="shared" si="114"/>
        <v>25.2</v>
      </c>
      <c r="N293" s="7">
        <f t="shared" si="105"/>
        <v>28.011204481792721</v>
      </c>
      <c r="O293" s="7">
        <f t="shared" si="106"/>
        <v>35.714285714285715</v>
      </c>
      <c r="P293" s="4">
        <f t="shared" si="107"/>
        <v>39.682539682539684</v>
      </c>
      <c r="Q293" s="4">
        <f t="shared" si="108"/>
        <v>567.67120448179264</v>
      </c>
      <c r="R293" s="4">
        <f t="shared" si="109"/>
        <v>723.78078571428557</v>
      </c>
      <c r="S293" s="4">
        <f t="shared" si="110"/>
        <v>804.20087301587296</v>
      </c>
    </row>
    <row r="294" spans="1:19" ht="33" hidden="1" customHeight="1" x14ac:dyDescent="0.25">
      <c r="A294" s="5">
        <v>292</v>
      </c>
      <c r="B294" s="5">
        <v>164</v>
      </c>
      <c r="C294" s="6" t="s">
        <v>298</v>
      </c>
      <c r="D294" s="5">
        <v>394</v>
      </c>
      <c r="E294" s="7">
        <v>2.23</v>
      </c>
      <c r="F294" s="7">
        <f t="shared" si="103"/>
        <v>878.62</v>
      </c>
      <c r="G294" s="8">
        <f t="shared" si="111"/>
        <v>878.62</v>
      </c>
      <c r="H294" s="4">
        <f t="shared" si="104"/>
        <v>1120.2404999999999</v>
      </c>
      <c r="I294" s="4">
        <f t="shared" si="102"/>
        <v>1244.7116666666668</v>
      </c>
      <c r="J294" s="17">
        <v>245</v>
      </c>
      <c r="K294" s="7">
        <f t="shared" si="112"/>
        <v>35.699999999999996</v>
      </c>
      <c r="L294" s="7">
        <f t="shared" si="113"/>
        <v>28</v>
      </c>
      <c r="M294" s="7">
        <f t="shared" si="114"/>
        <v>25.2</v>
      </c>
      <c r="N294" s="7">
        <f t="shared" si="105"/>
        <v>6.8627450980392162</v>
      </c>
      <c r="O294" s="7">
        <f t="shared" si="106"/>
        <v>8.75</v>
      </c>
      <c r="P294" s="4">
        <f t="shared" si="107"/>
        <v>9.7222222222222232</v>
      </c>
      <c r="Q294" s="4">
        <f t="shared" si="108"/>
        <v>885.48274509803923</v>
      </c>
      <c r="R294" s="4">
        <f t="shared" si="109"/>
        <v>1128.9904999999999</v>
      </c>
      <c r="S294" s="4">
        <f t="shared" si="110"/>
        <v>1254.433888888889</v>
      </c>
    </row>
    <row r="295" spans="1:19" ht="33" hidden="1" customHeight="1" x14ac:dyDescent="0.25">
      <c r="A295" s="5">
        <v>293</v>
      </c>
      <c r="B295" s="5">
        <v>165</v>
      </c>
      <c r="C295" s="6" t="s">
        <v>299</v>
      </c>
      <c r="D295" s="5">
        <v>564</v>
      </c>
      <c r="E295" s="7">
        <v>2.23</v>
      </c>
      <c r="F295" s="7">
        <f t="shared" si="103"/>
        <v>1257.72</v>
      </c>
      <c r="G295" s="8">
        <f t="shared" si="111"/>
        <v>1257.72</v>
      </c>
      <c r="H295" s="4">
        <f t="shared" si="104"/>
        <v>1603.5929999999998</v>
      </c>
      <c r="I295" s="4">
        <f t="shared" si="102"/>
        <v>1781.77</v>
      </c>
      <c r="J295" s="17">
        <v>1385</v>
      </c>
      <c r="K295" s="7">
        <f t="shared" si="112"/>
        <v>35.699999999999996</v>
      </c>
      <c r="L295" s="7">
        <f t="shared" si="113"/>
        <v>28</v>
      </c>
      <c r="M295" s="7">
        <f t="shared" si="114"/>
        <v>25.2</v>
      </c>
      <c r="N295" s="7">
        <f t="shared" si="105"/>
        <v>38.795518207282917</v>
      </c>
      <c r="O295" s="7">
        <f t="shared" si="106"/>
        <v>49.464285714285715</v>
      </c>
      <c r="P295" s="4">
        <f t="shared" si="107"/>
        <v>54.960317460317462</v>
      </c>
      <c r="Q295" s="4">
        <f t="shared" si="108"/>
        <v>1296.5155182072829</v>
      </c>
      <c r="R295" s="4">
        <f t="shared" si="109"/>
        <v>1653.0572857142856</v>
      </c>
      <c r="S295" s="4">
        <f t="shared" si="110"/>
        <v>1836.7303174603173</v>
      </c>
    </row>
    <row r="296" spans="1:19" ht="33" hidden="1" customHeight="1" x14ac:dyDescent="0.25">
      <c r="A296" s="5">
        <v>294</v>
      </c>
      <c r="B296" s="5">
        <v>167</v>
      </c>
      <c r="C296" s="6" t="s">
        <v>300</v>
      </c>
      <c r="D296" s="5">
        <v>720</v>
      </c>
      <c r="E296" s="7">
        <v>2.23</v>
      </c>
      <c r="F296" s="7">
        <f t="shared" si="103"/>
        <v>1605.6</v>
      </c>
      <c r="G296" s="8">
        <f t="shared" si="111"/>
        <v>1605.6</v>
      </c>
      <c r="H296" s="4">
        <f t="shared" si="104"/>
        <v>2047.1399999999996</v>
      </c>
      <c r="I296" s="4">
        <f t="shared" si="102"/>
        <v>2274.6</v>
      </c>
      <c r="J296" s="17">
        <v>3215</v>
      </c>
      <c r="K296" s="7">
        <f t="shared" si="112"/>
        <v>35.699999999999996</v>
      </c>
      <c r="L296" s="7">
        <f t="shared" si="113"/>
        <v>28</v>
      </c>
      <c r="M296" s="7">
        <f t="shared" si="114"/>
        <v>25.2</v>
      </c>
      <c r="N296" s="7">
        <f t="shared" si="105"/>
        <v>90.056022408963599</v>
      </c>
      <c r="O296" s="7">
        <f t="shared" si="106"/>
        <v>114.82142857142857</v>
      </c>
      <c r="P296" s="4">
        <f t="shared" si="107"/>
        <v>127.57936507936509</v>
      </c>
      <c r="Q296" s="4">
        <f t="shared" si="108"/>
        <v>1695.6560224089635</v>
      </c>
      <c r="R296" s="4">
        <f t="shared" si="109"/>
        <v>2161.9614285714283</v>
      </c>
      <c r="S296" s="4">
        <f t="shared" si="110"/>
        <v>2402.1793650793652</v>
      </c>
    </row>
    <row r="297" spans="1:19" ht="33" hidden="1" customHeight="1" x14ac:dyDescent="0.25">
      <c r="A297" s="5">
        <v>295</v>
      </c>
      <c r="B297" s="5">
        <v>168</v>
      </c>
      <c r="C297" s="6" t="s">
        <v>301</v>
      </c>
      <c r="D297" s="5">
        <v>844</v>
      </c>
      <c r="E297" s="7">
        <v>2.23</v>
      </c>
      <c r="F297" s="7">
        <f t="shared" si="103"/>
        <v>1882.12</v>
      </c>
      <c r="G297" s="8">
        <f t="shared" si="111"/>
        <v>1882.12</v>
      </c>
      <c r="H297" s="4">
        <f t="shared" si="104"/>
        <v>2399.7029999999995</v>
      </c>
      <c r="I297" s="4">
        <f t="shared" si="102"/>
        <v>2666.3366666666666</v>
      </c>
      <c r="J297" s="17">
        <v>1605</v>
      </c>
      <c r="K297" s="7">
        <f t="shared" si="112"/>
        <v>35.699999999999996</v>
      </c>
      <c r="L297" s="7">
        <f t="shared" si="113"/>
        <v>28</v>
      </c>
      <c r="M297" s="7">
        <f t="shared" si="114"/>
        <v>25.2</v>
      </c>
      <c r="N297" s="7">
        <f t="shared" si="105"/>
        <v>44.957983193277315</v>
      </c>
      <c r="O297" s="7">
        <f t="shared" si="106"/>
        <v>57.321428571428569</v>
      </c>
      <c r="P297" s="4">
        <f t="shared" si="107"/>
        <v>63.69047619047619</v>
      </c>
      <c r="Q297" s="4">
        <f t="shared" si="108"/>
        <v>1927.0779831932773</v>
      </c>
      <c r="R297" s="4">
        <f t="shared" si="109"/>
        <v>2457.024428571428</v>
      </c>
      <c r="S297" s="4">
        <f t="shared" si="110"/>
        <v>2730.0271428571427</v>
      </c>
    </row>
    <row r="298" spans="1:19" ht="33" hidden="1" customHeight="1" x14ac:dyDescent="0.25">
      <c r="A298" s="5">
        <v>296</v>
      </c>
      <c r="B298" s="5">
        <v>169</v>
      </c>
      <c r="C298" s="6" t="s">
        <v>302</v>
      </c>
      <c r="D298" s="5">
        <v>175</v>
      </c>
      <c r="E298" s="7">
        <v>2.23</v>
      </c>
      <c r="F298" s="7">
        <f t="shared" si="103"/>
        <v>390.25</v>
      </c>
      <c r="G298" s="8">
        <f t="shared" si="111"/>
        <v>390.25</v>
      </c>
      <c r="H298" s="4">
        <f t="shared" si="104"/>
        <v>497.56874999999997</v>
      </c>
      <c r="I298" s="4">
        <f t="shared" si="102"/>
        <v>552.85416666666663</v>
      </c>
      <c r="J298" s="17">
        <v>105</v>
      </c>
      <c r="K298" s="7">
        <f t="shared" si="112"/>
        <v>35.699999999999996</v>
      </c>
      <c r="L298" s="7">
        <f t="shared" si="113"/>
        <v>28</v>
      </c>
      <c r="M298" s="7">
        <f t="shared" si="114"/>
        <v>25.2</v>
      </c>
      <c r="N298" s="7">
        <f t="shared" si="105"/>
        <v>2.9411764705882355</v>
      </c>
      <c r="O298" s="7">
        <f t="shared" si="106"/>
        <v>3.75</v>
      </c>
      <c r="P298" s="4">
        <f t="shared" si="107"/>
        <v>4.166666666666667</v>
      </c>
      <c r="Q298" s="4">
        <f t="shared" si="108"/>
        <v>393.19117647058823</v>
      </c>
      <c r="R298" s="4">
        <f t="shared" si="109"/>
        <v>501.31874999999997</v>
      </c>
      <c r="S298" s="4">
        <f t="shared" si="110"/>
        <v>557.02083333333326</v>
      </c>
    </row>
    <row r="299" spans="1:19" ht="33" hidden="1" customHeight="1" x14ac:dyDescent="0.25">
      <c r="A299" s="5">
        <v>297</v>
      </c>
      <c r="B299" s="5">
        <v>170</v>
      </c>
      <c r="C299" s="6" t="s">
        <v>303</v>
      </c>
      <c r="D299" s="5">
        <v>517</v>
      </c>
      <c r="E299" s="7">
        <v>2.23</v>
      </c>
      <c r="F299" s="7">
        <f t="shared" si="103"/>
        <v>1152.9100000000001</v>
      </c>
      <c r="G299" s="8">
        <f t="shared" si="111"/>
        <v>1152.9100000000001</v>
      </c>
      <c r="H299" s="4">
        <f t="shared" si="104"/>
        <v>1469.9602500000001</v>
      </c>
      <c r="I299" s="4">
        <f t="shared" si="102"/>
        <v>1633.2891666666667</v>
      </c>
      <c r="J299" s="17">
        <v>3060</v>
      </c>
      <c r="K299" s="7">
        <f t="shared" si="112"/>
        <v>35.699999999999996</v>
      </c>
      <c r="L299" s="7">
        <f t="shared" si="113"/>
        <v>28</v>
      </c>
      <c r="M299" s="7">
        <f t="shared" si="114"/>
        <v>25.2</v>
      </c>
      <c r="N299" s="7">
        <f t="shared" si="105"/>
        <v>85.714285714285722</v>
      </c>
      <c r="O299" s="7">
        <f t="shared" si="106"/>
        <v>109.28571428571429</v>
      </c>
      <c r="P299" s="4">
        <f t="shared" si="107"/>
        <v>121.42857142857143</v>
      </c>
      <c r="Q299" s="4">
        <f t="shared" si="108"/>
        <v>1238.6242857142859</v>
      </c>
      <c r="R299" s="4">
        <f t="shared" si="109"/>
        <v>1579.2459642857143</v>
      </c>
      <c r="S299" s="4">
        <f t="shared" si="110"/>
        <v>1754.717738095238</v>
      </c>
    </row>
    <row r="300" spans="1:19" ht="33" hidden="1" customHeight="1" x14ac:dyDescent="0.25">
      <c r="A300" s="5">
        <v>298</v>
      </c>
      <c r="B300" s="5">
        <v>171</v>
      </c>
      <c r="C300" s="6" t="s">
        <v>304</v>
      </c>
      <c r="D300" s="5">
        <v>278</v>
      </c>
      <c r="E300" s="7">
        <v>2.23</v>
      </c>
      <c r="F300" s="7">
        <f t="shared" si="103"/>
        <v>619.93999999999994</v>
      </c>
      <c r="G300" s="8">
        <f t="shared" si="111"/>
        <v>619.93999999999994</v>
      </c>
      <c r="H300" s="4">
        <f t="shared" si="104"/>
        <v>790.42349999999988</v>
      </c>
      <c r="I300" s="4">
        <f t="shared" si="102"/>
        <v>878.24833333333333</v>
      </c>
      <c r="J300" s="17">
        <v>4490</v>
      </c>
      <c r="K300" s="7">
        <f t="shared" si="112"/>
        <v>35.699999999999996</v>
      </c>
      <c r="L300" s="7">
        <f t="shared" si="113"/>
        <v>28</v>
      </c>
      <c r="M300" s="7">
        <f t="shared" si="114"/>
        <v>25.2</v>
      </c>
      <c r="N300" s="7">
        <f t="shared" si="105"/>
        <v>125.77030812324931</v>
      </c>
      <c r="O300" s="7">
        <f t="shared" si="106"/>
        <v>160.35714285714286</v>
      </c>
      <c r="P300" s="4">
        <f t="shared" si="107"/>
        <v>178.17460317460319</v>
      </c>
      <c r="Q300" s="4">
        <f t="shared" si="108"/>
        <v>745.71030812324921</v>
      </c>
      <c r="R300" s="4">
        <f t="shared" si="109"/>
        <v>950.78064285714277</v>
      </c>
      <c r="S300" s="4">
        <f t="shared" si="110"/>
        <v>1056.4229365079366</v>
      </c>
    </row>
    <row r="301" spans="1:19" ht="33" hidden="1" customHeight="1" x14ac:dyDescent="0.25">
      <c r="A301" s="5">
        <v>299</v>
      </c>
      <c r="B301" s="5">
        <v>172</v>
      </c>
      <c r="C301" s="6" t="s">
        <v>305</v>
      </c>
      <c r="D301" s="5">
        <v>377</v>
      </c>
      <c r="E301" s="7">
        <v>2.23</v>
      </c>
      <c r="F301" s="7">
        <f t="shared" si="103"/>
        <v>840.71</v>
      </c>
      <c r="G301" s="8">
        <f t="shared" si="111"/>
        <v>840.71</v>
      </c>
      <c r="H301" s="4">
        <f t="shared" si="104"/>
        <v>1071.90525</v>
      </c>
      <c r="I301" s="4">
        <f t="shared" si="102"/>
        <v>1191.0058333333334</v>
      </c>
      <c r="J301" s="17">
        <v>335</v>
      </c>
      <c r="K301" s="7">
        <f t="shared" si="112"/>
        <v>35.699999999999996</v>
      </c>
      <c r="L301" s="7">
        <f t="shared" si="113"/>
        <v>28</v>
      </c>
      <c r="M301" s="7">
        <f t="shared" si="114"/>
        <v>25.2</v>
      </c>
      <c r="N301" s="7">
        <f t="shared" si="105"/>
        <v>9.3837535014005606</v>
      </c>
      <c r="O301" s="7">
        <f t="shared" si="106"/>
        <v>11.964285714285714</v>
      </c>
      <c r="P301" s="4">
        <f t="shared" si="107"/>
        <v>13.293650793650794</v>
      </c>
      <c r="Q301" s="4">
        <f t="shared" si="108"/>
        <v>850.09375350140056</v>
      </c>
      <c r="R301" s="4">
        <f t="shared" si="109"/>
        <v>1083.8695357142858</v>
      </c>
      <c r="S301" s="4">
        <f t="shared" si="110"/>
        <v>1204.2994841269842</v>
      </c>
    </row>
    <row r="302" spans="1:19" ht="33" hidden="1" customHeight="1" x14ac:dyDescent="0.25">
      <c r="A302" s="5">
        <v>300</v>
      </c>
      <c r="B302" s="5">
        <v>173</v>
      </c>
      <c r="C302" s="6" t="s">
        <v>306</v>
      </c>
      <c r="D302" s="5">
        <v>167</v>
      </c>
      <c r="E302" s="7">
        <v>2.23</v>
      </c>
      <c r="F302" s="7">
        <f t="shared" si="103"/>
        <v>372.41</v>
      </c>
      <c r="G302" s="8">
        <f t="shared" si="111"/>
        <v>372.41</v>
      </c>
      <c r="H302" s="4">
        <f t="shared" si="104"/>
        <v>474.82274999999998</v>
      </c>
      <c r="I302" s="4">
        <f t="shared" si="102"/>
        <v>527.58083333333332</v>
      </c>
      <c r="J302" s="17">
        <v>215</v>
      </c>
      <c r="K302" s="7">
        <f t="shared" si="112"/>
        <v>35.699999999999996</v>
      </c>
      <c r="L302" s="7">
        <f t="shared" si="113"/>
        <v>28</v>
      </c>
      <c r="M302" s="7">
        <f t="shared" si="114"/>
        <v>25.2</v>
      </c>
      <c r="N302" s="7">
        <f t="shared" si="105"/>
        <v>6.022408963585435</v>
      </c>
      <c r="O302" s="7">
        <f t="shared" si="106"/>
        <v>7.6785714285714288</v>
      </c>
      <c r="P302" s="4">
        <f t="shared" si="107"/>
        <v>8.5317460317460316</v>
      </c>
      <c r="Q302" s="4">
        <f t="shared" si="108"/>
        <v>378.43240896358549</v>
      </c>
      <c r="R302" s="4">
        <f t="shared" si="109"/>
        <v>482.50132142857143</v>
      </c>
      <c r="S302" s="4">
        <f t="shared" si="110"/>
        <v>536.11257936507934</v>
      </c>
    </row>
    <row r="303" spans="1:19" ht="33" hidden="1" customHeight="1" x14ac:dyDescent="0.25">
      <c r="A303" s="5">
        <v>301</v>
      </c>
      <c r="B303" s="5">
        <v>180</v>
      </c>
      <c r="C303" s="6" t="s">
        <v>307</v>
      </c>
      <c r="D303" s="5">
        <v>303</v>
      </c>
      <c r="E303" s="7">
        <v>2.23</v>
      </c>
      <c r="F303" s="7">
        <f t="shared" si="103"/>
        <v>675.68999999999994</v>
      </c>
      <c r="G303" s="8">
        <f t="shared" si="111"/>
        <v>675.68999999999994</v>
      </c>
      <c r="H303" s="4">
        <f t="shared" si="104"/>
        <v>861.50474999999983</v>
      </c>
      <c r="I303" s="4">
        <f t="shared" si="102"/>
        <v>957.22749999999985</v>
      </c>
      <c r="J303" s="17">
        <v>450</v>
      </c>
      <c r="K303" s="7">
        <f t="shared" si="112"/>
        <v>35.699999999999996</v>
      </c>
      <c r="L303" s="7">
        <f t="shared" si="113"/>
        <v>28</v>
      </c>
      <c r="M303" s="7">
        <f t="shared" si="114"/>
        <v>25.2</v>
      </c>
      <c r="N303" s="7">
        <f t="shared" si="105"/>
        <v>12.605042016806724</v>
      </c>
      <c r="O303" s="7">
        <f t="shared" si="106"/>
        <v>16.071428571428573</v>
      </c>
      <c r="P303" s="4">
        <f t="shared" si="107"/>
        <v>17.857142857142858</v>
      </c>
      <c r="Q303" s="4">
        <f t="shared" si="108"/>
        <v>688.29504201680663</v>
      </c>
      <c r="R303" s="4">
        <f t="shared" si="109"/>
        <v>877.57617857142839</v>
      </c>
      <c r="S303" s="4">
        <f t="shared" si="110"/>
        <v>975.08464285714274</v>
      </c>
    </row>
    <row r="304" spans="1:19" ht="33" hidden="1" customHeight="1" x14ac:dyDescent="0.25">
      <c r="A304" s="5">
        <v>302</v>
      </c>
      <c r="B304" s="5">
        <v>181</v>
      </c>
      <c r="C304" s="6" t="s">
        <v>308</v>
      </c>
      <c r="D304" s="5">
        <v>235</v>
      </c>
      <c r="E304" s="7">
        <v>2.23</v>
      </c>
      <c r="F304" s="7">
        <f t="shared" si="103"/>
        <v>524.04999999999995</v>
      </c>
      <c r="G304" s="8">
        <f t="shared" si="111"/>
        <v>524.04999999999995</v>
      </c>
      <c r="H304" s="4">
        <f t="shared" si="104"/>
        <v>668.16374999999994</v>
      </c>
      <c r="I304" s="4">
        <f t="shared" si="102"/>
        <v>742.4041666666667</v>
      </c>
      <c r="J304" s="17">
        <v>90</v>
      </c>
      <c r="K304" s="7">
        <f t="shared" si="112"/>
        <v>35.699999999999996</v>
      </c>
      <c r="L304" s="7">
        <f t="shared" si="113"/>
        <v>28</v>
      </c>
      <c r="M304" s="7">
        <f t="shared" si="114"/>
        <v>25.2</v>
      </c>
      <c r="N304" s="7">
        <f t="shared" si="105"/>
        <v>2.5210084033613449</v>
      </c>
      <c r="O304" s="7">
        <f t="shared" si="106"/>
        <v>3.2142857142857144</v>
      </c>
      <c r="P304" s="4">
        <f t="shared" si="107"/>
        <v>3.5714285714285716</v>
      </c>
      <c r="Q304" s="4">
        <f t="shared" si="108"/>
        <v>526.57100840336125</v>
      </c>
      <c r="R304" s="4">
        <f t="shared" si="109"/>
        <v>671.3780357142856</v>
      </c>
      <c r="S304" s="4">
        <f t="shared" si="110"/>
        <v>745.97559523809525</v>
      </c>
    </row>
    <row r="305" spans="1:19" ht="33" hidden="1" customHeight="1" x14ac:dyDescent="0.25">
      <c r="A305" s="5">
        <v>303</v>
      </c>
      <c r="B305" s="5">
        <v>182</v>
      </c>
      <c r="C305" s="6" t="s">
        <v>309</v>
      </c>
      <c r="D305" s="5">
        <v>650</v>
      </c>
      <c r="E305" s="7">
        <v>2.23</v>
      </c>
      <c r="F305" s="7">
        <f t="shared" si="103"/>
        <v>1449.5</v>
      </c>
      <c r="G305" s="8">
        <f t="shared" si="111"/>
        <v>1449.5</v>
      </c>
      <c r="H305" s="4">
        <f t="shared" si="104"/>
        <v>1848.1125</v>
      </c>
      <c r="I305" s="4">
        <f t="shared" si="102"/>
        <v>2053.4583333333335</v>
      </c>
      <c r="J305" s="17">
        <v>1385</v>
      </c>
      <c r="K305" s="7">
        <f t="shared" si="112"/>
        <v>35.699999999999996</v>
      </c>
      <c r="L305" s="7">
        <f t="shared" si="113"/>
        <v>28</v>
      </c>
      <c r="M305" s="7">
        <f t="shared" si="114"/>
        <v>25.2</v>
      </c>
      <c r="N305" s="7">
        <f t="shared" si="105"/>
        <v>38.795518207282917</v>
      </c>
      <c r="O305" s="7">
        <f t="shared" si="106"/>
        <v>49.464285714285715</v>
      </c>
      <c r="P305" s="4">
        <f t="shared" si="107"/>
        <v>54.960317460317462</v>
      </c>
      <c r="Q305" s="4">
        <f t="shared" si="108"/>
        <v>1488.2955182072828</v>
      </c>
      <c r="R305" s="4">
        <f t="shared" si="109"/>
        <v>1897.5767857142857</v>
      </c>
      <c r="S305" s="4">
        <f t="shared" si="110"/>
        <v>2108.4186507936511</v>
      </c>
    </row>
    <row r="306" spans="1:19" ht="33" hidden="1" customHeight="1" x14ac:dyDescent="0.25">
      <c r="A306" s="5">
        <v>304</v>
      </c>
      <c r="B306" s="5">
        <v>183</v>
      </c>
      <c r="C306" s="6" t="s">
        <v>310</v>
      </c>
      <c r="D306" s="5">
        <v>625</v>
      </c>
      <c r="E306" s="7">
        <v>2.23</v>
      </c>
      <c r="F306" s="7">
        <f t="shared" si="103"/>
        <v>1393.75</v>
      </c>
      <c r="G306" s="8">
        <f t="shared" si="111"/>
        <v>1393.75</v>
      </c>
      <c r="H306" s="4">
        <f t="shared" si="104"/>
        <v>1777.0312499999998</v>
      </c>
      <c r="I306" s="4">
        <f t="shared" si="102"/>
        <v>1974.4791666666667</v>
      </c>
      <c r="J306" s="17">
        <v>1450</v>
      </c>
      <c r="K306" s="7">
        <f t="shared" si="112"/>
        <v>35.699999999999996</v>
      </c>
      <c r="L306" s="7">
        <f t="shared" si="113"/>
        <v>28</v>
      </c>
      <c r="M306" s="7">
        <f t="shared" si="114"/>
        <v>25.2</v>
      </c>
      <c r="N306" s="7">
        <f t="shared" si="105"/>
        <v>40.616246498599445</v>
      </c>
      <c r="O306" s="7">
        <f t="shared" si="106"/>
        <v>51.785714285714285</v>
      </c>
      <c r="P306" s="4">
        <f t="shared" si="107"/>
        <v>57.539682539682538</v>
      </c>
      <c r="Q306" s="4">
        <f t="shared" si="108"/>
        <v>1434.3662464985994</v>
      </c>
      <c r="R306" s="4">
        <f t="shared" si="109"/>
        <v>1828.816964285714</v>
      </c>
      <c r="S306" s="4">
        <f t="shared" si="110"/>
        <v>2032.0188492063494</v>
      </c>
    </row>
    <row r="307" spans="1:19" ht="33" hidden="1" customHeight="1" x14ac:dyDescent="0.25">
      <c r="A307" s="5">
        <v>305</v>
      </c>
      <c r="B307" s="5">
        <v>186</v>
      </c>
      <c r="C307" s="6" t="s">
        <v>311</v>
      </c>
      <c r="D307" s="5">
        <v>460</v>
      </c>
      <c r="E307" s="7">
        <v>2.23</v>
      </c>
      <c r="F307" s="7">
        <f t="shared" si="103"/>
        <v>1025.8</v>
      </c>
      <c r="G307" s="8">
        <f t="shared" si="111"/>
        <v>1025.8</v>
      </c>
      <c r="H307" s="4">
        <f t="shared" si="104"/>
        <v>1307.8949999999998</v>
      </c>
      <c r="I307" s="4">
        <f t="shared" si="102"/>
        <v>1453.2166666666665</v>
      </c>
      <c r="J307" s="17">
        <v>1450</v>
      </c>
      <c r="K307" s="7">
        <f t="shared" si="112"/>
        <v>35.699999999999996</v>
      </c>
      <c r="L307" s="7">
        <f t="shared" si="113"/>
        <v>28</v>
      </c>
      <c r="M307" s="7">
        <f t="shared" si="114"/>
        <v>25.2</v>
      </c>
      <c r="N307" s="7">
        <f t="shared" si="105"/>
        <v>40.616246498599445</v>
      </c>
      <c r="O307" s="7">
        <f t="shared" si="106"/>
        <v>51.785714285714285</v>
      </c>
      <c r="P307" s="4">
        <f t="shared" si="107"/>
        <v>57.539682539682538</v>
      </c>
      <c r="Q307" s="4">
        <f t="shared" si="108"/>
        <v>1066.4162464985993</v>
      </c>
      <c r="R307" s="4">
        <f t="shared" si="109"/>
        <v>1359.680714285714</v>
      </c>
      <c r="S307" s="4">
        <f t="shared" si="110"/>
        <v>1510.7563492063491</v>
      </c>
    </row>
    <row r="308" spans="1:19" ht="33" hidden="1" customHeight="1" x14ac:dyDescent="0.25">
      <c r="A308" s="5">
        <v>306</v>
      </c>
      <c r="B308" s="5">
        <v>188</v>
      </c>
      <c r="C308" s="6" t="s">
        <v>312</v>
      </c>
      <c r="D308" s="5">
        <v>415</v>
      </c>
      <c r="E308" s="7">
        <v>2.23</v>
      </c>
      <c r="F308" s="7">
        <f t="shared" si="103"/>
        <v>925.45</v>
      </c>
      <c r="G308" s="8">
        <f t="shared" si="111"/>
        <v>925.45</v>
      </c>
      <c r="H308" s="4">
        <f t="shared" si="104"/>
        <v>1179.94875</v>
      </c>
      <c r="I308" s="4">
        <f t="shared" si="102"/>
        <v>1311.0541666666668</v>
      </c>
      <c r="J308" s="17">
        <v>450</v>
      </c>
      <c r="K308" s="7">
        <f t="shared" si="112"/>
        <v>35.699999999999996</v>
      </c>
      <c r="L308" s="7">
        <f t="shared" si="113"/>
        <v>28</v>
      </c>
      <c r="M308" s="7">
        <f t="shared" si="114"/>
        <v>25.2</v>
      </c>
      <c r="N308" s="7">
        <f t="shared" si="105"/>
        <v>12.605042016806724</v>
      </c>
      <c r="O308" s="7">
        <f t="shared" si="106"/>
        <v>16.071428571428573</v>
      </c>
      <c r="P308" s="4">
        <f t="shared" si="107"/>
        <v>17.857142857142858</v>
      </c>
      <c r="Q308" s="4">
        <f t="shared" si="108"/>
        <v>938.05504201680674</v>
      </c>
      <c r="R308" s="4">
        <f t="shared" si="109"/>
        <v>1196.0201785714287</v>
      </c>
      <c r="S308" s="4">
        <f t="shared" si="110"/>
        <v>1328.9113095238097</v>
      </c>
    </row>
    <row r="309" spans="1:19" ht="33" hidden="1" customHeight="1" x14ac:dyDescent="0.25">
      <c r="A309" s="5">
        <v>307</v>
      </c>
      <c r="B309" s="5">
        <v>189</v>
      </c>
      <c r="C309" s="6" t="s">
        <v>313</v>
      </c>
      <c r="D309" s="5">
        <v>244</v>
      </c>
      <c r="E309" s="7">
        <v>2.23</v>
      </c>
      <c r="F309" s="7">
        <f t="shared" si="103"/>
        <v>544.12</v>
      </c>
      <c r="G309" s="8">
        <f t="shared" si="111"/>
        <v>544.12</v>
      </c>
      <c r="H309" s="4">
        <f t="shared" si="104"/>
        <v>693.75299999999993</v>
      </c>
      <c r="I309" s="4">
        <f t="shared" si="102"/>
        <v>770.83666666666659</v>
      </c>
      <c r="J309" s="17">
        <v>385</v>
      </c>
      <c r="K309" s="7">
        <f t="shared" si="112"/>
        <v>35.699999999999996</v>
      </c>
      <c r="L309" s="7">
        <f t="shared" si="113"/>
        <v>28</v>
      </c>
      <c r="M309" s="7">
        <f t="shared" si="114"/>
        <v>25.2</v>
      </c>
      <c r="N309" s="7">
        <f t="shared" si="105"/>
        <v>10.784313725490197</v>
      </c>
      <c r="O309" s="7">
        <f t="shared" si="106"/>
        <v>13.75</v>
      </c>
      <c r="P309" s="4">
        <f t="shared" si="107"/>
        <v>15.277777777777779</v>
      </c>
      <c r="Q309" s="4">
        <f t="shared" si="108"/>
        <v>554.90431372549017</v>
      </c>
      <c r="R309" s="4">
        <f t="shared" si="109"/>
        <v>707.50299999999993</v>
      </c>
      <c r="S309" s="4">
        <f t="shared" si="110"/>
        <v>786.11444444444442</v>
      </c>
    </row>
    <row r="310" spans="1:19" ht="33" hidden="1" customHeight="1" x14ac:dyDescent="0.25">
      <c r="A310" s="5">
        <v>308</v>
      </c>
      <c r="B310" s="5">
        <v>190</v>
      </c>
      <c r="C310" s="6" t="s">
        <v>314</v>
      </c>
      <c r="D310" s="5">
        <v>490</v>
      </c>
      <c r="E310" s="7">
        <v>2.23</v>
      </c>
      <c r="F310" s="7">
        <f t="shared" si="103"/>
        <v>1092.7</v>
      </c>
      <c r="G310" s="8">
        <f t="shared" si="111"/>
        <v>1092.7</v>
      </c>
      <c r="H310" s="4">
        <f t="shared" si="104"/>
        <v>1393.1924999999999</v>
      </c>
      <c r="I310" s="4">
        <f t="shared" si="102"/>
        <v>1547.9916666666668</v>
      </c>
      <c r="J310" s="17">
        <v>1510</v>
      </c>
      <c r="K310" s="7">
        <f t="shared" si="112"/>
        <v>35.699999999999996</v>
      </c>
      <c r="L310" s="7">
        <f t="shared" si="113"/>
        <v>28</v>
      </c>
      <c r="M310" s="7">
        <f t="shared" si="114"/>
        <v>25.2</v>
      </c>
      <c r="N310" s="7">
        <f t="shared" si="105"/>
        <v>42.296918767507009</v>
      </c>
      <c r="O310" s="7">
        <f t="shared" si="106"/>
        <v>53.928571428571431</v>
      </c>
      <c r="P310" s="4">
        <f t="shared" si="107"/>
        <v>59.920634920634924</v>
      </c>
      <c r="Q310" s="4">
        <f t="shared" si="108"/>
        <v>1134.9969187675069</v>
      </c>
      <c r="R310" s="4">
        <f t="shared" si="109"/>
        <v>1447.1210714285712</v>
      </c>
      <c r="S310" s="4">
        <f t="shared" si="110"/>
        <v>1607.9123015873017</v>
      </c>
    </row>
    <row r="311" spans="1:19" ht="33" hidden="1" customHeight="1" x14ac:dyDescent="0.25">
      <c r="A311" s="5">
        <v>309</v>
      </c>
      <c r="B311" s="5">
        <v>191</v>
      </c>
      <c r="C311" s="6" t="s">
        <v>315</v>
      </c>
      <c r="D311" s="5">
        <v>223</v>
      </c>
      <c r="E311" s="7">
        <v>2.23</v>
      </c>
      <c r="F311" s="7">
        <f t="shared" si="103"/>
        <v>497.29</v>
      </c>
      <c r="G311" s="8">
        <f t="shared" si="111"/>
        <v>497.29</v>
      </c>
      <c r="H311" s="4">
        <f t="shared" si="104"/>
        <v>634.04475000000002</v>
      </c>
      <c r="I311" s="4">
        <f t="shared" si="102"/>
        <v>704.49416666666673</v>
      </c>
      <c r="J311" s="17">
        <v>425</v>
      </c>
      <c r="K311" s="7">
        <f t="shared" si="112"/>
        <v>35.699999999999996</v>
      </c>
      <c r="L311" s="7">
        <f t="shared" si="113"/>
        <v>28</v>
      </c>
      <c r="M311" s="7">
        <f t="shared" si="114"/>
        <v>25.2</v>
      </c>
      <c r="N311" s="7">
        <f t="shared" si="105"/>
        <v>11.904761904761907</v>
      </c>
      <c r="O311" s="7">
        <f t="shared" si="106"/>
        <v>15.178571428571429</v>
      </c>
      <c r="P311" s="4">
        <f t="shared" si="107"/>
        <v>16.865079365079364</v>
      </c>
      <c r="Q311" s="4">
        <f t="shared" si="108"/>
        <v>509.19476190476195</v>
      </c>
      <c r="R311" s="4">
        <f t="shared" si="109"/>
        <v>649.22332142857147</v>
      </c>
      <c r="S311" s="4">
        <f t="shared" si="110"/>
        <v>721.35924603174612</v>
      </c>
    </row>
    <row r="312" spans="1:19" ht="33" hidden="1" customHeight="1" x14ac:dyDescent="0.25">
      <c r="A312" s="5">
        <v>310</v>
      </c>
      <c r="B312" s="5">
        <v>192</v>
      </c>
      <c r="C312" s="6" t="s">
        <v>316</v>
      </c>
      <c r="D312" s="5">
        <v>323</v>
      </c>
      <c r="E312" s="7">
        <v>2.23</v>
      </c>
      <c r="F312" s="7">
        <f t="shared" si="103"/>
        <v>720.29</v>
      </c>
      <c r="G312" s="8">
        <f t="shared" si="111"/>
        <v>720.29</v>
      </c>
      <c r="H312" s="4">
        <f t="shared" si="104"/>
        <v>918.36974999999984</v>
      </c>
      <c r="I312" s="4">
        <f t="shared" si="102"/>
        <v>1020.4108333333334</v>
      </c>
      <c r="J312" s="17">
        <v>1000</v>
      </c>
      <c r="K312" s="7">
        <f t="shared" si="112"/>
        <v>35.699999999999996</v>
      </c>
      <c r="L312" s="7">
        <f t="shared" si="113"/>
        <v>28</v>
      </c>
      <c r="M312" s="7">
        <f t="shared" si="114"/>
        <v>25.2</v>
      </c>
      <c r="N312" s="7">
        <f t="shared" si="105"/>
        <v>28.011204481792721</v>
      </c>
      <c r="O312" s="7">
        <f t="shared" si="106"/>
        <v>35.714285714285715</v>
      </c>
      <c r="P312" s="4">
        <f t="shared" si="107"/>
        <v>39.682539682539684</v>
      </c>
      <c r="Q312" s="4">
        <f t="shared" si="108"/>
        <v>748.30120448179264</v>
      </c>
      <c r="R312" s="4">
        <f t="shared" si="109"/>
        <v>954.08403571428551</v>
      </c>
      <c r="S312" s="4">
        <f t="shared" si="110"/>
        <v>1060.0933730158731</v>
      </c>
    </row>
    <row r="313" spans="1:19" ht="33" hidden="1" customHeight="1" x14ac:dyDescent="0.25">
      <c r="A313" s="5">
        <v>311</v>
      </c>
      <c r="B313" s="5">
        <v>194</v>
      </c>
      <c r="C313" s="6" t="s">
        <v>412</v>
      </c>
      <c r="D313" s="5">
        <v>97</v>
      </c>
      <c r="E313" s="7">
        <v>2.23</v>
      </c>
      <c r="F313" s="7">
        <f t="shared" si="103"/>
        <v>216.31</v>
      </c>
      <c r="G313" s="8">
        <f t="shared" si="111"/>
        <v>216.31</v>
      </c>
      <c r="H313" s="4">
        <f t="shared" si="104"/>
        <v>275.79525000000001</v>
      </c>
      <c r="I313" s="4">
        <f t="shared" ref="I313:I376" si="115">(F313*51)/36</f>
        <v>306.43916666666667</v>
      </c>
      <c r="J313" s="17">
        <v>90</v>
      </c>
      <c r="K313" s="7">
        <f t="shared" si="112"/>
        <v>35.699999999999996</v>
      </c>
      <c r="L313" s="7">
        <f t="shared" si="113"/>
        <v>28</v>
      </c>
      <c r="M313" s="7">
        <f t="shared" si="114"/>
        <v>25.2</v>
      </c>
      <c r="N313" s="7">
        <f t="shared" si="105"/>
        <v>2.5210084033613449</v>
      </c>
      <c r="O313" s="7">
        <f t="shared" si="106"/>
        <v>3.2142857142857144</v>
      </c>
      <c r="P313" s="4">
        <f t="shared" si="107"/>
        <v>3.5714285714285716</v>
      </c>
      <c r="Q313" s="4">
        <f t="shared" si="108"/>
        <v>218.83100840336135</v>
      </c>
      <c r="R313" s="4">
        <f t="shared" si="109"/>
        <v>279.00953571428573</v>
      </c>
      <c r="S313" s="4">
        <f t="shared" si="110"/>
        <v>310.01059523809522</v>
      </c>
    </row>
    <row r="314" spans="1:19" ht="33" hidden="1" customHeight="1" x14ac:dyDescent="0.25">
      <c r="A314" s="5">
        <v>312</v>
      </c>
      <c r="B314" s="5">
        <v>196</v>
      </c>
      <c r="C314" s="6" t="s">
        <v>413</v>
      </c>
      <c r="D314" s="5">
        <v>709</v>
      </c>
      <c r="E314" s="7">
        <v>2.23</v>
      </c>
      <c r="F314" s="7">
        <f t="shared" si="103"/>
        <v>1581.07</v>
      </c>
      <c r="G314" s="8">
        <f t="shared" si="111"/>
        <v>1581.07</v>
      </c>
      <c r="H314" s="4">
        <f t="shared" si="104"/>
        <v>2015.8642499999999</v>
      </c>
      <c r="I314" s="4">
        <f t="shared" si="115"/>
        <v>2239.8491666666664</v>
      </c>
      <c r="J314" s="17">
        <v>1385</v>
      </c>
      <c r="K314" s="7">
        <f t="shared" si="112"/>
        <v>35.699999999999996</v>
      </c>
      <c r="L314" s="7">
        <f t="shared" si="113"/>
        <v>28</v>
      </c>
      <c r="M314" s="7">
        <f t="shared" si="114"/>
        <v>25.2</v>
      </c>
      <c r="N314" s="7">
        <f t="shared" si="105"/>
        <v>38.795518207282917</v>
      </c>
      <c r="O314" s="7">
        <f t="shared" si="106"/>
        <v>49.464285714285715</v>
      </c>
      <c r="P314" s="4">
        <f t="shared" si="107"/>
        <v>54.960317460317462</v>
      </c>
      <c r="Q314" s="4">
        <f t="shared" si="108"/>
        <v>1619.8655182072828</v>
      </c>
      <c r="R314" s="4">
        <f t="shared" si="109"/>
        <v>2065.3285357142854</v>
      </c>
      <c r="S314" s="4">
        <f t="shared" si="110"/>
        <v>2294.809484126984</v>
      </c>
    </row>
    <row r="315" spans="1:19" ht="33" hidden="1" customHeight="1" x14ac:dyDescent="0.25">
      <c r="A315" s="5">
        <v>313</v>
      </c>
      <c r="B315" s="5">
        <v>197</v>
      </c>
      <c r="C315" s="6" t="s">
        <v>414</v>
      </c>
      <c r="D315" s="5">
        <v>627</v>
      </c>
      <c r="E315" s="7">
        <v>2.23</v>
      </c>
      <c r="F315" s="7">
        <f t="shared" si="103"/>
        <v>1398.21</v>
      </c>
      <c r="G315" s="8">
        <f t="shared" si="111"/>
        <v>1398.21</v>
      </c>
      <c r="H315" s="4">
        <f t="shared" si="104"/>
        <v>1782.71775</v>
      </c>
      <c r="I315" s="4">
        <f t="shared" si="115"/>
        <v>1980.7975000000001</v>
      </c>
      <c r="J315" s="17">
        <v>1385</v>
      </c>
      <c r="K315" s="7">
        <f t="shared" si="112"/>
        <v>35.699999999999996</v>
      </c>
      <c r="L315" s="7">
        <f t="shared" si="113"/>
        <v>28</v>
      </c>
      <c r="M315" s="7">
        <f t="shared" si="114"/>
        <v>25.2</v>
      </c>
      <c r="N315" s="7">
        <f t="shared" si="105"/>
        <v>38.795518207282917</v>
      </c>
      <c r="O315" s="7">
        <f t="shared" si="106"/>
        <v>49.464285714285715</v>
      </c>
      <c r="P315" s="4">
        <f t="shared" si="107"/>
        <v>54.960317460317462</v>
      </c>
      <c r="Q315" s="4">
        <f t="shared" si="108"/>
        <v>1437.0055182072829</v>
      </c>
      <c r="R315" s="4">
        <f t="shared" si="109"/>
        <v>1832.1820357142858</v>
      </c>
      <c r="S315" s="4">
        <f t="shared" si="110"/>
        <v>2035.7578174603175</v>
      </c>
    </row>
    <row r="316" spans="1:19" ht="33" hidden="1" customHeight="1" x14ac:dyDescent="0.25">
      <c r="A316" s="5">
        <v>314</v>
      </c>
      <c r="B316" s="5">
        <v>225</v>
      </c>
      <c r="C316" s="6" t="s">
        <v>415</v>
      </c>
      <c r="D316" s="5">
        <v>460</v>
      </c>
      <c r="E316" s="7">
        <v>2.23</v>
      </c>
      <c r="F316" s="7">
        <f t="shared" si="103"/>
        <v>1025.8</v>
      </c>
      <c r="G316" s="8">
        <f t="shared" si="111"/>
        <v>1025.8</v>
      </c>
      <c r="H316" s="4">
        <f t="shared" si="104"/>
        <v>1307.8949999999998</v>
      </c>
      <c r="I316" s="4">
        <f t="shared" si="115"/>
        <v>1453.2166666666665</v>
      </c>
      <c r="J316" s="17">
        <v>260</v>
      </c>
      <c r="K316" s="7">
        <f t="shared" si="112"/>
        <v>35.699999999999996</v>
      </c>
      <c r="L316" s="7">
        <f t="shared" si="113"/>
        <v>28</v>
      </c>
      <c r="M316" s="7">
        <f t="shared" si="114"/>
        <v>25.2</v>
      </c>
      <c r="N316" s="7">
        <f t="shared" si="105"/>
        <v>7.2829131652661072</v>
      </c>
      <c r="O316" s="7">
        <f t="shared" si="106"/>
        <v>9.2857142857142865</v>
      </c>
      <c r="P316" s="4">
        <f t="shared" si="107"/>
        <v>10.317460317460318</v>
      </c>
      <c r="Q316" s="4">
        <f t="shared" si="108"/>
        <v>1033.0829131652661</v>
      </c>
      <c r="R316" s="4">
        <f t="shared" si="109"/>
        <v>1317.180714285714</v>
      </c>
      <c r="S316" s="4">
        <f t="shared" si="110"/>
        <v>1463.5341269841267</v>
      </c>
    </row>
    <row r="317" spans="1:19" ht="33" hidden="1" customHeight="1" x14ac:dyDescent="0.25">
      <c r="A317" s="5">
        <v>315</v>
      </c>
      <c r="B317" s="5">
        <v>226</v>
      </c>
      <c r="C317" s="6" t="s">
        <v>416</v>
      </c>
      <c r="D317" s="5">
        <v>665</v>
      </c>
      <c r="E317" s="7">
        <v>2.23</v>
      </c>
      <c r="F317" s="7">
        <f t="shared" si="103"/>
        <v>1482.95</v>
      </c>
      <c r="G317" s="8">
        <f t="shared" si="111"/>
        <v>1482.95</v>
      </c>
      <c r="H317" s="4">
        <f t="shared" si="104"/>
        <v>1890.76125</v>
      </c>
      <c r="I317" s="4">
        <f t="shared" si="115"/>
        <v>2100.8458333333333</v>
      </c>
      <c r="J317" s="17">
        <v>3215</v>
      </c>
      <c r="K317" s="7">
        <f t="shared" si="112"/>
        <v>35.699999999999996</v>
      </c>
      <c r="L317" s="7">
        <f t="shared" si="113"/>
        <v>28</v>
      </c>
      <c r="M317" s="7">
        <f t="shared" si="114"/>
        <v>25.2</v>
      </c>
      <c r="N317" s="7">
        <f t="shared" si="105"/>
        <v>90.056022408963599</v>
      </c>
      <c r="O317" s="7">
        <f t="shared" si="106"/>
        <v>114.82142857142857</v>
      </c>
      <c r="P317" s="4">
        <f t="shared" si="107"/>
        <v>127.57936507936509</v>
      </c>
      <c r="Q317" s="4">
        <f t="shared" si="108"/>
        <v>1573.0060224089636</v>
      </c>
      <c r="R317" s="4">
        <f t="shared" si="109"/>
        <v>2005.5826785714287</v>
      </c>
      <c r="S317" s="4">
        <f t="shared" si="110"/>
        <v>2228.4251984126986</v>
      </c>
    </row>
    <row r="318" spans="1:19" ht="33" hidden="1" customHeight="1" x14ac:dyDescent="0.25">
      <c r="A318" s="5">
        <v>316</v>
      </c>
      <c r="B318" s="5">
        <v>227</v>
      </c>
      <c r="C318" s="6" t="s">
        <v>417</v>
      </c>
      <c r="D318" s="5">
        <v>103</v>
      </c>
      <c r="E318" s="7">
        <v>2.23</v>
      </c>
      <c r="F318" s="7">
        <f t="shared" si="103"/>
        <v>229.69</v>
      </c>
      <c r="G318" s="8">
        <f t="shared" si="111"/>
        <v>229.69</v>
      </c>
      <c r="H318" s="4">
        <f t="shared" si="104"/>
        <v>292.85474999999997</v>
      </c>
      <c r="I318" s="4">
        <f t="shared" si="115"/>
        <v>325.39416666666671</v>
      </c>
      <c r="J318" s="17">
        <v>660</v>
      </c>
      <c r="K318" s="7">
        <f t="shared" si="112"/>
        <v>35.699999999999996</v>
      </c>
      <c r="L318" s="7">
        <f t="shared" si="113"/>
        <v>28</v>
      </c>
      <c r="M318" s="7">
        <f t="shared" si="114"/>
        <v>25.2</v>
      </c>
      <c r="N318" s="7">
        <f t="shared" si="105"/>
        <v>18.487394957983195</v>
      </c>
      <c r="O318" s="7">
        <f t="shared" si="106"/>
        <v>23.571428571428573</v>
      </c>
      <c r="P318" s="4">
        <f t="shared" si="107"/>
        <v>26.19047619047619</v>
      </c>
      <c r="Q318" s="4">
        <f t="shared" si="108"/>
        <v>248.17739495798318</v>
      </c>
      <c r="R318" s="4">
        <f t="shared" si="109"/>
        <v>316.42617857142852</v>
      </c>
      <c r="S318" s="4">
        <f t="shared" si="110"/>
        <v>351.58464285714291</v>
      </c>
    </row>
    <row r="319" spans="1:19" ht="33" hidden="1" customHeight="1" x14ac:dyDescent="0.25">
      <c r="A319" s="5">
        <v>317</v>
      </c>
      <c r="B319" s="5">
        <v>228</v>
      </c>
      <c r="C319" s="6" t="s">
        <v>418</v>
      </c>
      <c r="D319" s="5">
        <v>297</v>
      </c>
      <c r="E319" s="7">
        <v>2.23</v>
      </c>
      <c r="F319" s="7">
        <f t="shared" si="103"/>
        <v>662.31</v>
      </c>
      <c r="G319" s="8">
        <f t="shared" si="111"/>
        <v>662.31</v>
      </c>
      <c r="H319" s="4">
        <f t="shared" si="104"/>
        <v>844.44524999999987</v>
      </c>
      <c r="I319" s="4">
        <f t="shared" si="115"/>
        <v>938.27249999999992</v>
      </c>
      <c r="J319" s="17">
        <v>290</v>
      </c>
      <c r="K319" s="7">
        <f t="shared" si="112"/>
        <v>35.699999999999996</v>
      </c>
      <c r="L319" s="7">
        <f t="shared" si="113"/>
        <v>28</v>
      </c>
      <c r="M319" s="7">
        <f t="shared" si="114"/>
        <v>25.2</v>
      </c>
      <c r="N319" s="7">
        <f t="shared" si="105"/>
        <v>8.1232492997198893</v>
      </c>
      <c r="O319" s="7">
        <f t="shared" si="106"/>
        <v>10.357142857142858</v>
      </c>
      <c r="P319" s="4">
        <f t="shared" si="107"/>
        <v>11.507936507936508</v>
      </c>
      <c r="Q319" s="4">
        <f t="shared" si="108"/>
        <v>670.43324929971982</v>
      </c>
      <c r="R319" s="4">
        <f t="shared" si="109"/>
        <v>854.80239285714276</v>
      </c>
      <c r="S319" s="4">
        <f t="shared" si="110"/>
        <v>949.78043650793643</v>
      </c>
    </row>
    <row r="320" spans="1:19" ht="33" hidden="1" customHeight="1" x14ac:dyDescent="0.25">
      <c r="A320" s="5">
        <v>318</v>
      </c>
      <c r="B320" s="5">
        <v>229</v>
      </c>
      <c r="C320" s="6" t="s">
        <v>419</v>
      </c>
      <c r="D320" s="5">
        <v>366</v>
      </c>
      <c r="E320" s="7">
        <v>2.23</v>
      </c>
      <c r="F320" s="7">
        <f t="shared" si="103"/>
        <v>816.18</v>
      </c>
      <c r="G320" s="8">
        <f t="shared" si="111"/>
        <v>816.18</v>
      </c>
      <c r="H320" s="4">
        <f t="shared" si="104"/>
        <v>1040.6294999999998</v>
      </c>
      <c r="I320" s="4">
        <f t="shared" si="115"/>
        <v>1156.2550000000001</v>
      </c>
      <c r="J320" s="17">
        <v>3115</v>
      </c>
      <c r="K320" s="7">
        <f t="shared" si="112"/>
        <v>35.699999999999996</v>
      </c>
      <c r="L320" s="7">
        <f t="shared" si="113"/>
        <v>28</v>
      </c>
      <c r="M320" s="7">
        <f t="shared" si="114"/>
        <v>25.2</v>
      </c>
      <c r="N320" s="7">
        <f t="shared" si="105"/>
        <v>87.254901960784323</v>
      </c>
      <c r="O320" s="7">
        <f t="shared" si="106"/>
        <v>111.25</v>
      </c>
      <c r="P320" s="4">
        <f t="shared" si="107"/>
        <v>123.61111111111111</v>
      </c>
      <c r="Q320" s="4">
        <f t="shared" si="108"/>
        <v>903.43490196078426</v>
      </c>
      <c r="R320" s="4">
        <f t="shared" si="109"/>
        <v>1151.8794999999998</v>
      </c>
      <c r="S320" s="4">
        <f t="shared" si="110"/>
        <v>1279.8661111111112</v>
      </c>
    </row>
    <row r="321" spans="1:19" ht="33" hidden="1" customHeight="1" x14ac:dyDescent="0.25">
      <c r="A321" s="5">
        <v>319</v>
      </c>
      <c r="B321" s="5">
        <v>230</v>
      </c>
      <c r="C321" s="6" t="s">
        <v>420</v>
      </c>
      <c r="D321" s="5">
        <v>738</v>
      </c>
      <c r="E321" s="7">
        <v>2.23</v>
      </c>
      <c r="F321" s="7">
        <f t="shared" si="103"/>
        <v>1645.74</v>
      </c>
      <c r="G321" s="8">
        <f t="shared" si="111"/>
        <v>1645.74</v>
      </c>
      <c r="H321" s="4">
        <f t="shared" si="104"/>
        <v>2098.3184999999999</v>
      </c>
      <c r="I321" s="4">
        <f t="shared" si="115"/>
        <v>2331.4650000000001</v>
      </c>
      <c r="J321" s="17">
        <v>3215</v>
      </c>
      <c r="K321" s="7">
        <f t="shared" si="112"/>
        <v>35.699999999999996</v>
      </c>
      <c r="L321" s="7">
        <f t="shared" si="113"/>
        <v>28</v>
      </c>
      <c r="M321" s="7">
        <f t="shared" si="114"/>
        <v>25.2</v>
      </c>
      <c r="N321" s="7">
        <f t="shared" si="105"/>
        <v>90.056022408963599</v>
      </c>
      <c r="O321" s="7">
        <f t="shared" si="106"/>
        <v>114.82142857142857</v>
      </c>
      <c r="P321" s="4">
        <f t="shared" si="107"/>
        <v>127.57936507936509</v>
      </c>
      <c r="Q321" s="4">
        <f t="shared" si="108"/>
        <v>1735.7960224089636</v>
      </c>
      <c r="R321" s="4">
        <f t="shared" si="109"/>
        <v>2213.1399285714283</v>
      </c>
      <c r="S321" s="4">
        <f t="shared" si="110"/>
        <v>2459.0443650793654</v>
      </c>
    </row>
    <row r="322" spans="1:19" ht="33" hidden="1" customHeight="1" x14ac:dyDescent="0.25">
      <c r="A322" s="5">
        <v>320</v>
      </c>
      <c r="B322" s="5">
        <v>231</v>
      </c>
      <c r="C322" s="6" t="s">
        <v>421</v>
      </c>
      <c r="D322" s="5">
        <v>133</v>
      </c>
      <c r="E322" s="7">
        <v>2.23</v>
      </c>
      <c r="F322" s="7">
        <f t="shared" si="103"/>
        <v>296.58999999999997</v>
      </c>
      <c r="G322" s="8">
        <f t="shared" si="111"/>
        <v>296.58999999999997</v>
      </c>
      <c r="H322" s="4">
        <f t="shared" si="104"/>
        <v>378.15224999999992</v>
      </c>
      <c r="I322" s="4">
        <f t="shared" si="115"/>
        <v>420.16916666666663</v>
      </c>
      <c r="J322" s="17">
        <v>265</v>
      </c>
      <c r="K322" s="7">
        <f t="shared" si="112"/>
        <v>35.699999999999996</v>
      </c>
      <c r="L322" s="7">
        <f t="shared" si="113"/>
        <v>28</v>
      </c>
      <c r="M322" s="7">
        <f t="shared" si="114"/>
        <v>25.2</v>
      </c>
      <c r="N322" s="7">
        <f t="shared" si="105"/>
        <v>7.4229691876750712</v>
      </c>
      <c r="O322" s="7">
        <f t="shared" si="106"/>
        <v>9.4642857142857135</v>
      </c>
      <c r="P322" s="4">
        <f t="shared" si="107"/>
        <v>10.515873015873016</v>
      </c>
      <c r="Q322" s="4">
        <f t="shared" si="108"/>
        <v>304.01296918767503</v>
      </c>
      <c r="R322" s="4">
        <f t="shared" si="109"/>
        <v>387.61653571428565</v>
      </c>
      <c r="S322" s="4">
        <f t="shared" si="110"/>
        <v>430.68503968253964</v>
      </c>
    </row>
    <row r="323" spans="1:19" ht="33" hidden="1" customHeight="1" x14ac:dyDescent="0.25">
      <c r="A323" s="5">
        <v>321</v>
      </c>
      <c r="B323" s="5">
        <v>232</v>
      </c>
      <c r="C323" s="6" t="s">
        <v>422</v>
      </c>
      <c r="D323" s="5">
        <v>345</v>
      </c>
      <c r="E323" s="7">
        <v>2.23</v>
      </c>
      <c r="F323" s="7">
        <f t="shared" si="103"/>
        <v>769.35</v>
      </c>
      <c r="G323" s="8">
        <f t="shared" si="111"/>
        <v>769.35</v>
      </c>
      <c r="H323" s="4">
        <f t="shared" si="104"/>
        <v>980.92124999999999</v>
      </c>
      <c r="I323" s="4">
        <f t="shared" si="115"/>
        <v>1089.9124999999999</v>
      </c>
      <c r="J323" s="17">
        <v>335</v>
      </c>
      <c r="K323" s="7">
        <f t="shared" si="112"/>
        <v>35.699999999999996</v>
      </c>
      <c r="L323" s="7">
        <f t="shared" si="113"/>
        <v>28</v>
      </c>
      <c r="M323" s="7">
        <f t="shared" si="114"/>
        <v>25.2</v>
      </c>
      <c r="N323" s="7">
        <f t="shared" si="105"/>
        <v>9.3837535014005606</v>
      </c>
      <c r="O323" s="7">
        <f t="shared" si="106"/>
        <v>11.964285714285714</v>
      </c>
      <c r="P323" s="4">
        <f t="shared" si="107"/>
        <v>13.293650793650794</v>
      </c>
      <c r="Q323" s="4">
        <f t="shared" si="108"/>
        <v>778.73375350140054</v>
      </c>
      <c r="R323" s="4">
        <f t="shared" si="109"/>
        <v>992.88553571428565</v>
      </c>
      <c r="S323" s="4">
        <f t="shared" si="110"/>
        <v>1103.2061507936507</v>
      </c>
    </row>
    <row r="324" spans="1:19" ht="33" hidden="1" customHeight="1" x14ac:dyDescent="0.25">
      <c r="A324" s="5">
        <v>322</v>
      </c>
      <c r="B324" s="5">
        <v>233</v>
      </c>
      <c r="C324" s="6" t="s">
        <v>423</v>
      </c>
      <c r="D324" s="5">
        <v>465</v>
      </c>
      <c r="E324" s="7">
        <v>2.23</v>
      </c>
      <c r="F324" s="7">
        <f t="shared" si="103"/>
        <v>1036.95</v>
      </c>
      <c r="G324" s="8">
        <f t="shared" si="111"/>
        <v>1036.95</v>
      </c>
      <c r="H324" s="4">
        <f t="shared" si="104"/>
        <v>1322.1112499999999</v>
      </c>
      <c r="I324" s="4">
        <f t="shared" si="115"/>
        <v>1469.0125</v>
      </c>
      <c r="J324" s="17">
        <v>535</v>
      </c>
      <c r="K324" s="7">
        <f t="shared" si="112"/>
        <v>35.699999999999996</v>
      </c>
      <c r="L324" s="7">
        <f t="shared" si="113"/>
        <v>28</v>
      </c>
      <c r="M324" s="7">
        <f t="shared" si="114"/>
        <v>25.2</v>
      </c>
      <c r="N324" s="7">
        <f t="shared" si="105"/>
        <v>14.985994397759105</v>
      </c>
      <c r="O324" s="7">
        <f t="shared" si="106"/>
        <v>19.107142857142858</v>
      </c>
      <c r="P324" s="4">
        <f t="shared" si="107"/>
        <v>21.230158730158731</v>
      </c>
      <c r="Q324" s="4">
        <f t="shared" si="108"/>
        <v>1051.9359943977593</v>
      </c>
      <c r="R324" s="4">
        <f t="shared" si="109"/>
        <v>1341.2183928571428</v>
      </c>
      <c r="S324" s="4">
        <f t="shared" si="110"/>
        <v>1490.2426587301588</v>
      </c>
    </row>
    <row r="325" spans="1:19" ht="33" hidden="1" customHeight="1" x14ac:dyDescent="0.25">
      <c r="A325" s="5">
        <v>323</v>
      </c>
      <c r="B325" s="5">
        <v>234</v>
      </c>
      <c r="C325" s="6" t="s">
        <v>424</v>
      </c>
      <c r="D325" s="5">
        <v>124</v>
      </c>
      <c r="E325" s="7">
        <v>2.23</v>
      </c>
      <c r="F325" s="7">
        <f t="shared" si="103"/>
        <v>276.52</v>
      </c>
      <c r="G325" s="8">
        <f t="shared" si="111"/>
        <v>276.52</v>
      </c>
      <c r="H325" s="4">
        <f t="shared" si="104"/>
        <v>352.56299999999993</v>
      </c>
      <c r="I325" s="4">
        <f t="shared" si="115"/>
        <v>391.73666666666662</v>
      </c>
      <c r="J325" s="17">
        <v>905</v>
      </c>
      <c r="K325" s="7">
        <f t="shared" si="112"/>
        <v>35.699999999999996</v>
      </c>
      <c r="L325" s="7">
        <f t="shared" si="113"/>
        <v>28</v>
      </c>
      <c r="M325" s="7">
        <f t="shared" si="114"/>
        <v>25.2</v>
      </c>
      <c r="N325" s="7">
        <f t="shared" si="105"/>
        <v>25.350140056022411</v>
      </c>
      <c r="O325" s="7">
        <f t="shared" si="106"/>
        <v>32.321428571428569</v>
      </c>
      <c r="P325" s="4">
        <f t="shared" si="107"/>
        <v>35.912698412698411</v>
      </c>
      <c r="Q325" s="4">
        <f t="shared" si="108"/>
        <v>301.87014005602236</v>
      </c>
      <c r="R325" s="4">
        <f t="shared" si="109"/>
        <v>384.88442857142849</v>
      </c>
      <c r="S325" s="4">
        <f t="shared" si="110"/>
        <v>427.64936507936505</v>
      </c>
    </row>
    <row r="326" spans="1:19" ht="33" hidden="1" customHeight="1" x14ac:dyDescent="0.25">
      <c r="A326" s="5">
        <v>324</v>
      </c>
      <c r="B326" s="5">
        <v>235</v>
      </c>
      <c r="C326" s="6" t="s">
        <v>425</v>
      </c>
      <c r="D326" s="5">
        <v>314</v>
      </c>
      <c r="E326" s="7">
        <v>2.23</v>
      </c>
      <c r="F326" s="7">
        <f t="shared" si="103"/>
        <v>700.22</v>
      </c>
      <c r="G326" s="8">
        <f t="shared" si="111"/>
        <v>700.22</v>
      </c>
      <c r="H326" s="4">
        <f t="shared" si="104"/>
        <v>892.78049999999996</v>
      </c>
      <c r="I326" s="4">
        <f t="shared" si="115"/>
        <v>991.97833333333335</v>
      </c>
      <c r="J326" s="17">
        <v>215</v>
      </c>
      <c r="K326" s="7">
        <f t="shared" si="112"/>
        <v>35.699999999999996</v>
      </c>
      <c r="L326" s="7">
        <f t="shared" si="113"/>
        <v>28</v>
      </c>
      <c r="M326" s="7">
        <f t="shared" si="114"/>
        <v>25.2</v>
      </c>
      <c r="N326" s="7">
        <f t="shared" si="105"/>
        <v>6.022408963585435</v>
      </c>
      <c r="O326" s="7">
        <f t="shared" si="106"/>
        <v>7.6785714285714288</v>
      </c>
      <c r="P326" s="4">
        <f t="shared" si="107"/>
        <v>8.5317460317460316</v>
      </c>
      <c r="Q326" s="4">
        <f t="shared" si="108"/>
        <v>706.24240896358549</v>
      </c>
      <c r="R326" s="4">
        <f t="shared" si="109"/>
        <v>900.45907142857141</v>
      </c>
      <c r="S326" s="4">
        <f t="shared" si="110"/>
        <v>1000.5100793650794</v>
      </c>
    </row>
    <row r="327" spans="1:19" ht="33" hidden="1" customHeight="1" x14ac:dyDescent="0.25">
      <c r="A327" s="5">
        <v>325</v>
      </c>
      <c r="B327" s="5">
        <v>236</v>
      </c>
      <c r="C327" s="6" t="s">
        <v>426</v>
      </c>
      <c r="D327" s="5">
        <v>503</v>
      </c>
      <c r="E327" s="7">
        <v>2.23</v>
      </c>
      <c r="F327" s="7">
        <f t="shared" si="103"/>
        <v>1121.69</v>
      </c>
      <c r="G327" s="8">
        <f t="shared" si="111"/>
        <v>1121.69</v>
      </c>
      <c r="H327" s="4">
        <f t="shared" si="104"/>
        <v>1430.1547499999999</v>
      </c>
      <c r="I327" s="4">
        <f t="shared" si="115"/>
        <v>1589.0608333333334</v>
      </c>
      <c r="J327" s="17">
        <v>335</v>
      </c>
      <c r="K327" s="7">
        <f t="shared" si="112"/>
        <v>35.699999999999996</v>
      </c>
      <c r="L327" s="7">
        <f t="shared" si="113"/>
        <v>28</v>
      </c>
      <c r="M327" s="7">
        <f t="shared" si="114"/>
        <v>25.2</v>
      </c>
      <c r="N327" s="7">
        <f t="shared" si="105"/>
        <v>9.3837535014005606</v>
      </c>
      <c r="O327" s="7">
        <f t="shared" si="106"/>
        <v>11.964285714285714</v>
      </c>
      <c r="P327" s="4">
        <f t="shared" si="107"/>
        <v>13.293650793650794</v>
      </c>
      <c r="Q327" s="4">
        <f t="shared" si="108"/>
        <v>1131.0737535014007</v>
      </c>
      <c r="R327" s="4">
        <f t="shared" si="109"/>
        <v>1442.1190357142857</v>
      </c>
      <c r="S327" s="4">
        <f t="shared" si="110"/>
        <v>1602.3544841269843</v>
      </c>
    </row>
    <row r="328" spans="1:19" ht="33" hidden="1" customHeight="1" x14ac:dyDescent="0.25">
      <c r="A328" s="5">
        <v>326</v>
      </c>
      <c r="B328" s="5">
        <v>237</v>
      </c>
      <c r="C328" s="6" t="s">
        <v>427</v>
      </c>
      <c r="D328" s="5">
        <v>721</v>
      </c>
      <c r="E328" s="7">
        <v>2.23</v>
      </c>
      <c r="F328" s="7">
        <f t="shared" si="103"/>
        <v>1607.83</v>
      </c>
      <c r="G328" s="8">
        <f t="shared" si="111"/>
        <v>1607.83</v>
      </c>
      <c r="H328" s="4">
        <f t="shared" si="104"/>
        <v>2049.9832499999998</v>
      </c>
      <c r="I328" s="4">
        <f t="shared" si="115"/>
        <v>2277.7591666666667</v>
      </c>
      <c r="J328" s="17">
        <v>1605</v>
      </c>
      <c r="K328" s="7">
        <f t="shared" si="112"/>
        <v>35.699999999999996</v>
      </c>
      <c r="L328" s="7">
        <f t="shared" si="113"/>
        <v>28</v>
      </c>
      <c r="M328" s="7">
        <f t="shared" si="114"/>
        <v>25.2</v>
      </c>
      <c r="N328" s="7">
        <f t="shared" si="105"/>
        <v>44.957983193277315</v>
      </c>
      <c r="O328" s="7">
        <f t="shared" si="106"/>
        <v>57.321428571428569</v>
      </c>
      <c r="P328" s="4">
        <f t="shared" si="107"/>
        <v>63.69047619047619</v>
      </c>
      <c r="Q328" s="4">
        <f t="shared" si="108"/>
        <v>1652.7879831932773</v>
      </c>
      <c r="R328" s="4">
        <f t="shared" si="109"/>
        <v>2107.3046785714282</v>
      </c>
      <c r="S328" s="4">
        <f t="shared" si="110"/>
        <v>2341.4496428571429</v>
      </c>
    </row>
    <row r="329" spans="1:19" ht="33" hidden="1" customHeight="1" x14ac:dyDescent="0.25">
      <c r="A329" s="5">
        <v>327</v>
      </c>
      <c r="B329" s="5">
        <v>238</v>
      </c>
      <c r="C329" s="6" t="s">
        <v>317</v>
      </c>
      <c r="D329" s="5">
        <v>282</v>
      </c>
      <c r="E329" s="7">
        <v>2.23</v>
      </c>
      <c r="F329" s="7">
        <f t="shared" si="103"/>
        <v>628.86</v>
      </c>
      <c r="G329" s="8">
        <f t="shared" si="111"/>
        <v>628.86</v>
      </c>
      <c r="H329" s="4">
        <f t="shared" si="104"/>
        <v>801.79649999999992</v>
      </c>
      <c r="I329" s="4">
        <f t="shared" si="115"/>
        <v>890.88499999999999</v>
      </c>
      <c r="J329" s="17">
        <v>245</v>
      </c>
      <c r="K329" s="7">
        <f t="shared" si="112"/>
        <v>35.699999999999996</v>
      </c>
      <c r="L329" s="7">
        <f t="shared" si="113"/>
        <v>28</v>
      </c>
      <c r="M329" s="7">
        <f t="shared" si="114"/>
        <v>25.2</v>
      </c>
      <c r="N329" s="7">
        <f t="shared" si="105"/>
        <v>6.8627450980392162</v>
      </c>
      <c r="O329" s="7">
        <f t="shared" si="106"/>
        <v>8.75</v>
      </c>
      <c r="P329" s="4">
        <f t="shared" si="107"/>
        <v>9.7222222222222232</v>
      </c>
      <c r="Q329" s="4">
        <f t="shared" si="108"/>
        <v>635.72274509803924</v>
      </c>
      <c r="R329" s="4">
        <f t="shared" si="109"/>
        <v>810.54649999999992</v>
      </c>
      <c r="S329" s="4">
        <f t="shared" si="110"/>
        <v>900.60722222222216</v>
      </c>
    </row>
    <row r="330" spans="1:19" ht="33" hidden="1" customHeight="1" x14ac:dyDescent="0.25">
      <c r="A330" s="5">
        <v>328</v>
      </c>
      <c r="B330" s="5">
        <v>239</v>
      </c>
      <c r="C330" s="6" t="s">
        <v>428</v>
      </c>
      <c r="D330" s="5">
        <v>341</v>
      </c>
      <c r="E330" s="7">
        <v>2.23</v>
      </c>
      <c r="F330" s="7">
        <f t="shared" si="103"/>
        <v>760.43</v>
      </c>
      <c r="G330" s="8">
        <f t="shared" si="111"/>
        <v>760.43</v>
      </c>
      <c r="H330" s="4">
        <f t="shared" si="104"/>
        <v>969.54824999999983</v>
      </c>
      <c r="I330" s="4">
        <f t="shared" si="115"/>
        <v>1077.2758333333334</v>
      </c>
      <c r="J330" s="17">
        <v>245</v>
      </c>
      <c r="K330" s="7">
        <f t="shared" si="112"/>
        <v>35.699999999999996</v>
      </c>
      <c r="L330" s="7">
        <f t="shared" si="113"/>
        <v>28</v>
      </c>
      <c r="M330" s="7">
        <f t="shared" si="114"/>
        <v>25.2</v>
      </c>
      <c r="N330" s="7">
        <f t="shared" si="105"/>
        <v>6.8627450980392162</v>
      </c>
      <c r="O330" s="7">
        <f t="shared" si="106"/>
        <v>8.75</v>
      </c>
      <c r="P330" s="4">
        <f t="shared" si="107"/>
        <v>9.7222222222222232</v>
      </c>
      <c r="Q330" s="4">
        <f t="shared" si="108"/>
        <v>767.29274509803918</v>
      </c>
      <c r="R330" s="4">
        <f t="shared" si="109"/>
        <v>978.29824999999983</v>
      </c>
      <c r="S330" s="4">
        <f t="shared" si="110"/>
        <v>1086.9980555555555</v>
      </c>
    </row>
    <row r="331" spans="1:19" ht="33" hidden="1" customHeight="1" x14ac:dyDescent="0.25">
      <c r="A331" s="5">
        <v>329</v>
      </c>
      <c r="B331" s="5">
        <v>240</v>
      </c>
      <c r="C331" s="6" t="s">
        <v>429</v>
      </c>
      <c r="D331" s="5">
        <v>157</v>
      </c>
      <c r="E331" s="7">
        <v>2.23</v>
      </c>
      <c r="F331" s="7">
        <f t="shared" si="103"/>
        <v>350.11</v>
      </c>
      <c r="G331" s="8">
        <f t="shared" si="111"/>
        <v>350.11</v>
      </c>
      <c r="H331" s="4">
        <f t="shared" si="104"/>
        <v>446.39024999999998</v>
      </c>
      <c r="I331" s="4">
        <f t="shared" si="115"/>
        <v>495.98916666666668</v>
      </c>
      <c r="J331" s="17">
        <v>1385</v>
      </c>
      <c r="K331" s="7">
        <f t="shared" si="112"/>
        <v>35.699999999999996</v>
      </c>
      <c r="L331" s="7">
        <f t="shared" si="113"/>
        <v>28</v>
      </c>
      <c r="M331" s="7">
        <f t="shared" si="114"/>
        <v>25.2</v>
      </c>
      <c r="N331" s="7">
        <f t="shared" si="105"/>
        <v>38.795518207282917</v>
      </c>
      <c r="O331" s="7">
        <f t="shared" si="106"/>
        <v>49.464285714285715</v>
      </c>
      <c r="P331" s="4">
        <f t="shared" si="107"/>
        <v>54.960317460317462</v>
      </c>
      <c r="Q331" s="4">
        <f t="shared" si="108"/>
        <v>388.90551820728291</v>
      </c>
      <c r="R331" s="4">
        <f t="shared" si="109"/>
        <v>495.8545357142857</v>
      </c>
      <c r="S331" s="4">
        <f t="shared" si="110"/>
        <v>550.94948412698409</v>
      </c>
    </row>
    <row r="332" spans="1:19" ht="33" hidden="1" customHeight="1" x14ac:dyDescent="0.25">
      <c r="A332" s="5">
        <v>330</v>
      </c>
      <c r="B332" s="5">
        <v>241</v>
      </c>
      <c r="C332" s="6" t="s">
        <v>430</v>
      </c>
      <c r="D332" s="5">
        <v>284</v>
      </c>
      <c r="E332" s="7">
        <v>2.23</v>
      </c>
      <c r="F332" s="7">
        <f t="shared" si="103"/>
        <v>633.32000000000005</v>
      </c>
      <c r="G332" s="8">
        <f t="shared" si="111"/>
        <v>633.32000000000005</v>
      </c>
      <c r="H332" s="4">
        <f t="shared" si="104"/>
        <v>807.48300000000006</v>
      </c>
      <c r="I332" s="4">
        <f t="shared" si="115"/>
        <v>897.20333333333338</v>
      </c>
      <c r="J332" s="17">
        <v>245</v>
      </c>
      <c r="K332" s="7">
        <f t="shared" si="112"/>
        <v>35.699999999999996</v>
      </c>
      <c r="L332" s="7">
        <f t="shared" si="113"/>
        <v>28</v>
      </c>
      <c r="M332" s="7">
        <f t="shared" si="114"/>
        <v>25.2</v>
      </c>
      <c r="N332" s="7">
        <f t="shared" si="105"/>
        <v>6.8627450980392162</v>
      </c>
      <c r="O332" s="7">
        <f t="shared" si="106"/>
        <v>8.75</v>
      </c>
      <c r="P332" s="4">
        <f t="shared" si="107"/>
        <v>9.7222222222222232</v>
      </c>
      <c r="Q332" s="4">
        <f t="shared" si="108"/>
        <v>640.18274509803928</v>
      </c>
      <c r="R332" s="4">
        <f t="shared" si="109"/>
        <v>816.23300000000006</v>
      </c>
      <c r="S332" s="4">
        <f t="shared" si="110"/>
        <v>906.92555555555555</v>
      </c>
    </row>
    <row r="333" spans="1:19" ht="33" hidden="1" customHeight="1" x14ac:dyDescent="0.25">
      <c r="A333" s="5">
        <v>331</v>
      </c>
      <c r="B333" s="5">
        <v>242</v>
      </c>
      <c r="C333" s="6" t="s">
        <v>431</v>
      </c>
      <c r="D333" s="5">
        <v>123</v>
      </c>
      <c r="E333" s="7">
        <v>2.23</v>
      </c>
      <c r="F333" s="7">
        <f t="shared" si="103"/>
        <v>274.29000000000002</v>
      </c>
      <c r="G333" s="8">
        <f t="shared" si="111"/>
        <v>274.29000000000002</v>
      </c>
      <c r="H333" s="4">
        <f t="shared" si="104"/>
        <v>349.71974999999998</v>
      </c>
      <c r="I333" s="4">
        <f t="shared" si="115"/>
        <v>388.57750000000004</v>
      </c>
      <c r="J333" s="17">
        <v>1085</v>
      </c>
      <c r="K333" s="7">
        <f t="shared" si="112"/>
        <v>35.699999999999996</v>
      </c>
      <c r="L333" s="7">
        <f t="shared" si="113"/>
        <v>28</v>
      </c>
      <c r="M333" s="7">
        <f t="shared" si="114"/>
        <v>25.2</v>
      </c>
      <c r="N333" s="7">
        <f t="shared" si="105"/>
        <v>30.3921568627451</v>
      </c>
      <c r="O333" s="7">
        <f t="shared" si="106"/>
        <v>38.75</v>
      </c>
      <c r="P333" s="4">
        <f t="shared" si="107"/>
        <v>43.055555555555557</v>
      </c>
      <c r="Q333" s="4">
        <f t="shared" si="108"/>
        <v>304.6821568627451</v>
      </c>
      <c r="R333" s="4">
        <f t="shared" si="109"/>
        <v>388.46974999999998</v>
      </c>
      <c r="S333" s="4">
        <f t="shared" si="110"/>
        <v>431.63305555555559</v>
      </c>
    </row>
    <row r="334" spans="1:19" ht="33" hidden="1" customHeight="1" x14ac:dyDescent="0.25">
      <c r="A334" s="5">
        <v>332</v>
      </c>
      <c r="B334" s="5">
        <v>243</v>
      </c>
      <c r="C334" s="6" t="s">
        <v>432</v>
      </c>
      <c r="D334" s="5">
        <v>158</v>
      </c>
      <c r="E334" s="7">
        <v>2.23</v>
      </c>
      <c r="F334" s="7">
        <f t="shared" si="103"/>
        <v>352.34</v>
      </c>
      <c r="G334" s="8">
        <f t="shared" si="111"/>
        <v>352.34</v>
      </c>
      <c r="H334" s="4">
        <f t="shared" si="104"/>
        <v>449.23349999999994</v>
      </c>
      <c r="I334" s="4">
        <f t="shared" si="115"/>
        <v>499.14833333333331</v>
      </c>
      <c r="J334" s="17">
        <v>785</v>
      </c>
      <c r="K334" s="7">
        <f t="shared" si="112"/>
        <v>35.699999999999996</v>
      </c>
      <c r="L334" s="7">
        <f t="shared" si="113"/>
        <v>28</v>
      </c>
      <c r="M334" s="7">
        <f t="shared" si="114"/>
        <v>25.2</v>
      </c>
      <c r="N334" s="7">
        <f t="shared" si="105"/>
        <v>21.988795518207287</v>
      </c>
      <c r="O334" s="7">
        <f t="shared" si="106"/>
        <v>28.035714285714285</v>
      </c>
      <c r="P334" s="4">
        <f t="shared" si="107"/>
        <v>31.150793650793652</v>
      </c>
      <c r="Q334" s="4">
        <f t="shared" si="108"/>
        <v>374.32879551820724</v>
      </c>
      <c r="R334" s="4">
        <f t="shared" si="109"/>
        <v>477.26921428571421</v>
      </c>
      <c r="S334" s="4">
        <f t="shared" si="110"/>
        <v>530.29912698412693</v>
      </c>
    </row>
    <row r="335" spans="1:19" ht="33" hidden="1" customHeight="1" x14ac:dyDescent="0.25">
      <c r="A335" s="5">
        <v>333</v>
      </c>
      <c r="B335" s="5">
        <v>244</v>
      </c>
      <c r="C335" s="6" t="s">
        <v>318</v>
      </c>
      <c r="D335" s="5">
        <v>147</v>
      </c>
      <c r="E335" s="7">
        <v>2.23</v>
      </c>
      <c r="F335" s="7">
        <f t="shared" si="103"/>
        <v>327.81</v>
      </c>
      <c r="G335" s="8">
        <f t="shared" si="111"/>
        <v>327.81</v>
      </c>
      <c r="H335" s="4">
        <f t="shared" si="104"/>
        <v>417.95774999999998</v>
      </c>
      <c r="I335" s="4">
        <f t="shared" si="115"/>
        <v>464.39750000000004</v>
      </c>
      <c r="J335" s="17">
        <v>235</v>
      </c>
      <c r="K335" s="7">
        <f t="shared" si="112"/>
        <v>35.699999999999996</v>
      </c>
      <c r="L335" s="7">
        <f t="shared" si="113"/>
        <v>28</v>
      </c>
      <c r="M335" s="7">
        <f t="shared" si="114"/>
        <v>25.2</v>
      </c>
      <c r="N335" s="7">
        <f t="shared" si="105"/>
        <v>6.5826330532212891</v>
      </c>
      <c r="O335" s="7">
        <f t="shared" si="106"/>
        <v>8.3928571428571423</v>
      </c>
      <c r="P335" s="4">
        <f t="shared" si="107"/>
        <v>9.325396825396826</v>
      </c>
      <c r="Q335" s="4">
        <f t="shared" si="108"/>
        <v>334.39263305322129</v>
      </c>
      <c r="R335" s="4">
        <f t="shared" si="109"/>
        <v>426.35060714285714</v>
      </c>
      <c r="S335" s="4">
        <f t="shared" si="110"/>
        <v>473.72289682539684</v>
      </c>
    </row>
    <row r="336" spans="1:19" ht="33" hidden="1" customHeight="1" x14ac:dyDescent="0.25">
      <c r="A336" s="5">
        <v>334</v>
      </c>
      <c r="B336" s="5">
        <v>245</v>
      </c>
      <c r="C336" s="6" t="s">
        <v>319</v>
      </c>
      <c r="D336" s="5">
        <v>368</v>
      </c>
      <c r="E336" s="7">
        <v>2.23</v>
      </c>
      <c r="F336" s="7">
        <f t="shared" si="103"/>
        <v>820.64</v>
      </c>
      <c r="G336" s="8">
        <f t="shared" si="111"/>
        <v>820.64</v>
      </c>
      <c r="H336" s="4">
        <f t="shared" si="104"/>
        <v>1046.3159999999998</v>
      </c>
      <c r="I336" s="4">
        <f t="shared" si="115"/>
        <v>1162.5733333333333</v>
      </c>
      <c r="J336" s="17">
        <v>260</v>
      </c>
      <c r="K336" s="7">
        <f t="shared" si="112"/>
        <v>35.699999999999996</v>
      </c>
      <c r="L336" s="7">
        <f t="shared" si="113"/>
        <v>28</v>
      </c>
      <c r="M336" s="7">
        <f t="shared" si="114"/>
        <v>25.2</v>
      </c>
      <c r="N336" s="7">
        <f t="shared" si="105"/>
        <v>7.2829131652661072</v>
      </c>
      <c r="O336" s="7">
        <f t="shared" si="106"/>
        <v>9.2857142857142865</v>
      </c>
      <c r="P336" s="4">
        <f t="shared" si="107"/>
        <v>10.317460317460318</v>
      </c>
      <c r="Q336" s="4">
        <f t="shared" si="108"/>
        <v>827.9229131652661</v>
      </c>
      <c r="R336" s="4">
        <f t="shared" si="109"/>
        <v>1055.601714285714</v>
      </c>
      <c r="S336" s="4">
        <f t="shared" si="110"/>
        <v>1172.8907936507935</v>
      </c>
    </row>
    <row r="337" spans="1:19" ht="33" hidden="1" customHeight="1" x14ac:dyDescent="0.25">
      <c r="A337" s="5">
        <v>335</v>
      </c>
      <c r="B337" s="5">
        <v>246</v>
      </c>
      <c r="C337" s="6" t="s">
        <v>320</v>
      </c>
      <c r="D337" s="5">
        <v>150</v>
      </c>
      <c r="E337" s="7">
        <v>2.23</v>
      </c>
      <c r="F337" s="7">
        <f t="shared" si="103"/>
        <v>334.5</v>
      </c>
      <c r="G337" s="8">
        <f t="shared" si="111"/>
        <v>334.5</v>
      </c>
      <c r="H337" s="4">
        <f t="shared" si="104"/>
        <v>426.48749999999995</v>
      </c>
      <c r="I337" s="4">
        <f t="shared" si="115"/>
        <v>473.875</v>
      </c>
      <c r="J337" s="17">
        <v>215</v>
      </c>
      <c r="K337" s="7">
        <f t="shared" si="112"/>
        <v>35.699999999999996</v>
      </c>
      <c r="L337" s="7">
        <f t="shared" si="113"/>
        <v>28</v>
      </c>
      <c r="M337" s="7">
        <f t="shared" si="114"/>
        <v>25.2</v>
      </c>
      <c r="N337" s="7">
        <f t="shared" si="105"/>
        <v>6.022408963585435</v>
      </c>
      <c r="O337" s="7">
        <f t="shared" si="106"/>
        <v>7.6785714285714288</v>
      </c>
      <c r="P337" s="4">
        <f t="shared" si="107"/>
        <v>8.5317460317460316</v>
      </c>
      <c r="Q337" s="4">
        <f t="shared" si="108"/>
        <v>340.52240896358546</v>
      </c>
      <c r="R337" s="4">
        <f t="shared" si="109"/>
        <v>434.1660714285714</v>
      </c>
      <c r="S337" s="4">
        <f t="shared" si="110"/>
        <v>482.40674603174602</v>
      </c>
    </row>
    <row r="338" spans="1:19" ht="33" hidden="1" customHeight="1" x14ac:dyDescent="0.25">
      <c r="A338" s="5">
        <v>336</v>
      </c>
      <c r="B338" s="5">
        <v>247</v>
      </c>
      <c r="C338" s="6" t="s">
        <v>321</v>
      </c>
      <c r="D338" s="5">
        <v>254</v>
      </c>
      <c r="E338" s="7">
        <v>2.23</v>
      </c>
      <c r="F338" s="7">
        <f t="shared" si="103"/>
        <v>566.41999999999996</v>
      </c>
      <c r="G338" s="8">
        <f t="shared" si="111"/>
        <v>566.41999999999996</v>
      </c>
      <c r="H338" s="4">
        <f t="shared" si="104"/>
        <v>722.18549999999993</v>
      </c>
      <c r="I338" s="4">
        <f t="shared" si="115"/>
        <v>802.42833333333328</v>
      </c>
      <c r="J338" s="17">
        <v>400</v>
      </c>
      <c r="K338" s="7">
        <f t="shared" si="112"/>
        <v>35.699999999999996</v>
      </c>
      <c r="L338" s="7">
        <f t="shared" si="113"/>
        <v>28</v>
      </c>
      <c r="M338" s="7">
        <f t="shared" si="114"/>
        <v>25.2</v>
      </c>
      <c r="N338" s="7">
        <f t="shared" si="105"/>
        <v>11.204481792717088</v>
      </c>
      <c r="O338" s="7">
        <f t="shared" si="106"/>
        <v>14.285714285714286</v>
      </c>
      <c r="P338" s="4">
        <f t="shared" si="107"/>
        <v>15.873015873015873</v>
      </c>
      <c r="Q338" s="4">
        <f t="shared" si="108"/>
        <v>577.62448179271701</v>
      </c>
      <c r="R338" s="4">
        <f t="shared" si="109"/>
        <v>736.47121428571427</v>
      </c>
      <c r="S338" s="4">
        <f t="shared" si="110"/>
        <v>818.30134920634919</v>
      </c>
    </row>
    <row r="339" spans="1:19" ht="33" hidden="1" customHeight="1" x14ac:dyDescent="0.25">
      <c r="A339" s="5">
        <v>337</v>
      </c>
      <c r="B339" s="5">
        <v>248</v>
      </c>
      <c r="C339" s="6" t="s">
        <v>322</v>
      </c>
      <c r="D339" s="5">
        <v>284</v>
      </c>
      <c r="E339" s="7">
        <v>2.23</v>
      </c>
      <c r="F339" s="7">
        <f t="shared" si="103"/>
        <v>633.32000000000005</v>
      </c>
      <c r="G339" s="8">
        <f t="shared" si="111"/>
        <v>633.32000000000005</v>
      </c>
      <c r="H339" s="4">
        <f t="shared" si="104"/>
        <v>807.48300000000006</v>
      </c>
      <c r="I339" s="4">
        <f t="shared" si="115"/>
        <v>897.20333333333338</v>
      </c>
      <c r="J339" s="17">
        <v>1000</v>
      </c>
      <c r="K339" s="7">
        <f t="shared" si="112"/>
        <v>35.699999999999996</v>
      </c>
      <c r="L339" s="7">
        <f t="shared" si="113"/>
        <v>28</v>
      </c>
      <c r="M339" s="7">
        <f t="shared" si="114"/>
        <v>25.2</v>
      </c>
      <c r="N339" s="7">
        <f t="shared" si="105"/>
        <v>28.011204481792721</v>
      </c>
      <c r="O339" s="7">
        <f t="shared" si="106"/>
        <v>35.714285714285715</v>
      </c>
      <c r="P339" s="4">
        <f t="shared" si="107"/>
        <v>39.682539682539684</v>
      </c>
      <c r="Q339" s="4">
        <f t="shared" si="108"/>
        <v>661.33120448179272</v>
      </c>
      <c r="R339" s="4">
        <f t="shared" si="109"/>
        <v>843.19728571428573</v>
      </c>
      <c r="S339" s="4">
        <f t="shared" si="110"/>
        <v>936.88587301587302</v>
      </c>
    </row>
    <row r="340" spans="1:19" ht="33" hidden="1" customHeight="1" x14ac:dyDescent="0.25">
      <c r="A340" s="5">
        <v>338</v>
      </c>
      <c r="B340" s="5">
        <v>249</v>
      </c>
      <c r="C340" s="6" t="s">
        <v>323</v>
      </c>
      <c r="D340" s="5">
        <v>145</v>
      </c>
      <c r="E340" s="7">
        <v>2.23</v>
      </c>
      <c r="F340" s="7">
        <f t="shared" si="103"/>
        <v>323.35000000000002</v>
      </c>
      <c r="G340" s="8">
        <f t="shared" si="111"/>
        <v>323.35000000000002</v>
      </c>
      <c r="H340" s="4">
        <f t="shared" si="104"/>
        <v>412.27125000000001</v>
      </c>
      <c r="I340" s="4">
        <f t="shared" si="115"/>
        <v>458.07916666666671</v>
      </c>
      <c r="J340" s="17">
        <v>90</v>
      </c>
      <c r="K340" s="7">
        <f t="shared" si="112"/>
        <v>35.699999999999996</v>
      </c>
      <c r="L340" s="7">
        <f t="shared" si="113"/>
        <v>28</v>
      </c>
      <c r="M340" s="7">
        <f t="shared" si="114"/>
        <v>25.2</v>
      </c>
      <c r="N340" s="7">
        <f t="shared" si="105"/>
        <v>2.5210084033613449</v>
      </c>
      <c r="O340" s="7">
        <f t="shared" si="106"/>
        <v>3.2142857142857144</v>
      </c>
      <c r="P340" s="4">
        <f t="shared" si="107"/>
        <v>3.5714285714285716</v>
      </c>
      <c r="Q340" s="4">
        <f t="shared" si="108"/>
        <v>325.87100840336137</v>
      </c>
      <c r="R340" s="4">
        <f t="shared" si="109"/>
        <v>415.48553571428573</v>
      </c>
      <c r="S340" s="4">
        <f t="shared" si="110"/>
        <v>461.65059523809526</v>
      </c>
    </row>
    <row r="341" spans="1:19" ht="33" hidden="1" customHeight="1" x14ac:dyDescent="0.25">
      <c r="A341" s="5">
        <v>339</v>
      </c>
      <c r="B341" s="5">
        <v>250</v>
      </c>
      <c r="C341" s="6" t="s">
        <v>324</v>
      </c>
      <c r="D341" s="5">
        <v>143</v>
      </c>
      <c r="E341" s="7">
        <v>2.23</v>
      </c>
      <c r="F341" s="7">
        <f t="shared" si="103"/>
        <v>318.89</v>
      </c>
      <c r="G341" s="8">
        <f t="shared" si="111"/>
        <v>318.89</v>
      </c>
      <c r="H341" s="4">
        <f t="shared" si="104"/>
        <v>406.58474999999993</v>
      </c>
      <c r="I341" s="4">
        <f t="shared" si="115"/>
        <v>451.76083333333332</v>
      </c>
      <c r="J341" s="17">
        <v>90</v>
      </c>
      <c r="K341" s="7">
        <f t="shared" si="112"/>
        <v>35.699999999999996</v>
      </c>
      <c r="L341" s="7">
        <f t="shared" si="113"/>
        <v>28</v>
      </c>
      <c r="M341" s="7">
        <f t="shared" si="114"/>
        <v>25.2</v>
      </c>
      <c r="N341" s="7">
        <f t="shared" si="105"/>
        <v>2.5210084033613449</v>
      </c>
      <c r="O341" s="7">
        <f t="shared" si="106"/>
        <v>3.2142857142857144</v>
      </c>
      <c r="P341" s="4">
        <f t="shared" si="107"/>
        <v>3.5714285714285716</v>
      </c>
      <c r="Q341" s="4">
        <f t="shared" si="108"/>
        <v>321.41100840336134</v>
      </c>
      <c r="R341" s="4">
        <f t="shared" si="109"/>
        <v>409.79903571428565</v>
      </c>
      <c r="S341" s="4">
        <f t="shared" si="110"/>
        <v>455.33226190476188</v>
      </c>
    </row>
    <row r="342" spans="1:19" ht="33" hidden="1" customHeight="1" x14ac:dyDescent="0.25">
      <c r="A342" s="5">
        <v>340</v>
      </c>
      <c r="B342" s="5">
        <v>251</v>
      </c>
      <c r="C342" s="6" t="s">
        <v>325</v>
      </c>
      <c r="D342" s="5">
        <v>153</v>
      </c>
      <c r="E342" s="7">
        <v>2.23</v>
      </c>
      <c r="F342" s="7">
        <f t="shared" si="103"/>
        <v>341.19</v>
      </c>
      <c r="G342" s="8">
        <f t="shared" si="111"/>
        <v>341.19</v>
      </c>
      <c r="H342" s="4">
        <f t="shared" si="104"/>
        <v>435.01724999999999</v>
      </c>
      <c r="I342" s="4">
        <f t="shared" si="115"/>
        <v>483.35249999999996</v>
      </c>
      <c r="J342" s="17">
        <v>90</v>
      </c>
      <c r="K342" s="7">
        <f t="shared" si="112"/>
        <v>35.699999999999996</v>
      </c>
      <c r="L342" s="7">
        <f t="shared" si="113"/>
        <v>28</v>
      </c>
      <c r="M342" s="7">
        <f t="shared" si="114"/>
        <v>25.2</v>
      </c>
      <c r="N342" s="7">
        <f t="shared" si="105"/>
        <v>2.5210084033613449</v>
      </c>
      <c r="O342" s="7">
        <f t="shared" si="106"/>
        <v>3.2142857142857144</v>
      </c>
      <c r="P342" s="4">
        <f t="shared" si="107"/>
        <v>3.5714285714285716</v>
      </c>
      <c r="Q342" s="4">
        <f t="shared" si="108"/>
        <v>343.71100840336135</v>
      </c>
      <c r="R342" s="4">
        <f t="shared" si="109"/>
        <v>438.23153571428571</v>
      </c>
      <c r="S342" s="4">
        <f t="shared" si="110"/>
        <v>486.92392857142852</v>
      </c>
    </row>
    <row r="343" spans="1:19" ht="33" hidden="1" customHeight="1" x14ac:dyDescent="0.25">
      <c r="A343" s="5">
        <v>341</v>
      </c>
      <c r="B343" s="5">
        <v>252</v>
      </c>
      <c r="C343" s="6" t="s">
        <v>433</v>
      </c>
      <c r="D343" s="5">
        <v>106</v>
      </c>
      <c r="E343" s="7">
        <v>2.23</v>
      </c>
      <c r="F343" s="7">
        <f t="shared" si="103"/>
        <v>236.38</v>
      </c>
      <c r="G343" s="8">
        <f t="shared" si="111"/>
        <v>236.38</v>
      </c>
      <c r="H343" s="4">
        <f t="shared" si="104"/>
        <v>301.38449999999995</v>
      </c>
      <c r="I343" s="4">
        <f t="shared" si="115"/>
        <v>334.87166666666667</v>
      </c>
      <c r="J343" s="17">
        <v>215</v>
      </c>
      <c r="K343" s="7">
        <f t="shared" si="112"/>
        <v>35.699999999999996</v>
      </c>
      <c r="L343" s="7">
        <f t="shared" si="113"/>
        <v>28</v>
      </c>
      <c r="M343" s="7">
        <f t="shared" si="114"/>
        <v>25.2</v>
      </c>
      <c r="N343" s="7">
        <f t="shared" si="105"/>
        <v>6.022408963585435</v>
      </c>
      <c r="O343" s="7">
        <f t="shared" si="106"/>
        <v>7.6785714285714288</v>
      </c>
      <c r="P343" s="4">
        <f t="shared" si="107"/>
        <v>8.5317460317460316</v>
      </c>
      <c r="Q343" s="4">
        <f t="shared" si="108"/>
        <v>242.40240896358543</v>
      </c>
      <c r="R343" s="4">
        <f t="shared" si="109"/>
        <v>309.06307142857139</v>
      </c>
      <c r="S343" s="4">
        <f t="shared" si="110"/>
        <v>343.40341269841269</v>
      </c>
    </row>
    <row r="344" spans="1:19" ht="33" hidden="1" customHeight="1" x14ac:dyDescent="0.25">
      <c r="A344" s="5">
        <v>342</v>
      </c>
      <c r="B344" s="5">
        <v>253</v>
      </c>
      <c r="C344" s="6" t="s">
        <v>434</v>
      </c>
      <c r="D344" s="5">
        <v>298</v>
      </c>
      <c r="E344" s="7">
        <v>2.23</v>
      </c>
      <c r="F344" s="7">
        <f t="shared" si="103"/>
        <v>664.54</v>
      </c>
      <c r="G344" s="8">
        <f t="shared" si="111"/>
        <v>664.54</v>
      </c>
      <c r="H344" s="4">
        <f t="shared" si="104"/>
        <v>847.28849999999989</v>
      </c>
      <c r="I344" s="4">
        <f t="shared" si="115"/>
        <v>941.43166666666673</v>
      </c>
      <c r="J344" s="17">
        <v>245</v>
      </c>
      <c r="K344" s="7">
        <f t="shared" si="112"/>
        <v>35.699999999999996</v>
      </c>
      <c r="L344" s="7">
        <f t="shared" si="113"/>
        <v>28</v>
      </c>
      <c r="M344" s="7">
        <f t="shared" si="114"/>
        <v>25.2</v>
      </c>
      <c r="N344" s="7">
        <f t="shared" si="105"/>
        <v>6.8627450980392162</v>
      </c>
      <c r="O344" s="7">
        <f t="shared" si="106"/>
        <v>8.75</v>
      </c>
      <c r="P344" s="4">
        <f t="shared" si="107"/>
        <v>9.7222222222222232</v>
      </c>
      <c r="Q344" s="4">
        <f t="shared" si="108"/>
        <v>671.40274509803919</v>
      </c>
      <c r="R344" s="4">
        <f t="shared" si="109"/>
        <v>856.03849999999989</v>
      </c>
      <c r="S344" s="4">
        <f t="shared" si="110"/>
        <v>951.1538888888889</v>
      </c>
    </row>
    <row r="345" spans="1:19" ht="33" hidden="1" customHeight="1" x14ac:dyDescent="0.25">
      <c r="A345" s="5">
        <v>343</v>
      </c>
      <c r="B345" s="5">
        <v>254</v>
      </c>
      <c r="C345" s="6" t="s">
        <v>435</v>
      </c>
      <c r="D345" s="5">
        <v>277</v>
      </c>
      <c r="E345" s="7">
        <v>2.23</v>
      </c>
      <c r="F345" s="7">
        <f t="shared" si="103"/>
        <v>617.71</v>
      </c>
      <c r="G345" s="8">
        <f t="shared" si="111"/>
        <v>617.71</v>
      </c>
      <c r="H345" s="4">
        <f t="shared" si="104"/>
        <v>787.58024999999998</v>
      </c>
      <c r="I345" s="4">
        <f t="shared" si="115"/>
        <v>875.08916666666676</v>
      </c>
      <c r="J345" s="17">
        <v>505</v>
      </c>
      <c r="K345" s="7">
        <f t="shared" si="112"/>
        <v>35.699999999999996</v>
      </c>
      <c r="L345" s="7">
        <f t="shared" si="113"/>
        <v>28</v>
      </c>
      <c r="M345" s="7">
        <f t="shared" si="114"/>
        <v>25.2</v>
      </c>
      <c r="N345" s="7">
        <f t="shared" si="105"/>
        <v>14.145658263305323</v>
      </c>
      <c r="O345" s="7">
        <f t="shared" si="106"/>
        <v>18.035714285714285</v>
      </c>
      <c r="P345" s="4">
        <f t="shared" si="107"/>
        <v>20.039682539682541</v>
      </c>
      <c r="Q345" s="4">
        <f t="shared" si="108"/>
        <v>631.85565826330537</v>
      </c>
      <c r="R345" s="4">
        <f t="shared" si="109"/>
        <v>805.61596428571431</v>
      </c>
      <c r="S345" s="4">
        <f t="shared" si="110"/>
        <v>895.12884920634929</v>
      </c>
    </row>
    <row r="346" spans="1:19" ht="33" hidden="1" customHeight="1" x14ac:dyDescent="0.25">
      <c r="A346" s="5">
        <v>344</v>
      </c>
      <c r="B346" s="5">
        <v>255</v>
      </c>
      <c r="C346" s="6" t="s">
        <v>436</v>
      </c>
      <c r="D346" s="5">
        <v>541</v>
      </c>
      <c r="E346" s="7">
        <v>2.23</v>
      </c>
      <c r="F346" s="7">
        <f t="shared" si="103"/>
        <v>1206.43</v>
      </c>
      <c r="G346" s="8">
        <f t="shared" si="111"/>
        <v>1206.43</v>
      </c>
      <c r="H346" s="4">
        <f t="shared" si="104"/>
        <v>1538.1982499999999</v>
      </c>
      <c r="I346" s="4">
        <f t="shared" si="115"/>
        <v>1709.1091666666666</v>
      </c>
      <c r="J346" s="17">
        <v>245</v>
      </c>
      <c r="K346" s="7">
        <f t="shared" si="112"/>
        <v>35.699999999999996</v>
      </c>
      <c r="L346" s="7">
        <f t="shared" si="113"/>
        <v>28</v>
      </c>
      <c r="M346" s="7">
        <f t="shared" si="114"/>
        <v>25.2</v>
      </c>
      <c r="N346" s="7">
        <f t="shared" si="105"/>
        <v>6.8627450980392162</v>
      </c>
      <c r="O346" s="7">
        <f t="shared" si="106"/>
        <v>8.75</v>
      </c>
      <c r="P346" s="4">
        <f t="shared" si="107"/>
        <v>9.7222222222222232</v>
      </c>
      <c r="Q346" s="4">
        <f t="shared" si="108"/>
        <v>1213.2927450980392</v>
      </c>
      <c r="R346" s="4">
        <f t="shared" si="109"/>
        <v>1546.9482499999999</v>
      </c>
      <c r="S346" s="4">
        <f t="shared" si="110"/>
        <v>1718.8313888888888</v>
      </c>
    </row>
    <row r="347" spans="1:19" ht="33" hidden="1" customHeight="1" x14ac:dyDescent="0.25">
      <c r="A347" s="5">
        <v>345</v>
      </c>
      <c r="B347" s="5">
        <v>256</v>
      </c>
      <c r="C347" s="6" t="s">
        <v>437</v>
      </c>
      <c r="D347" s="5">
        <v>253</v>
      </c>
      <c r="E347" s="7">
        <v>2.23</v>
      </c>
      <c r="F347" s="7">
        <f t="shared" si="103"/>
        <v>564.18999999999994</v>
      </c>
      <c r="G347" s="8">
        <f t="shared" si="111"/>
        <v>564.18999999999994</v>
      </c>
      <c r="H347" s="4">
        <f t="shared" si="104"/>
        <v>719.34224999999992</v>
      </c>
      <c r="I347" s="4">
        <f t="shared" si="115"/>
        <v>799.26916666666659</v>
      </c>
      <c r="J347" s="17">
        <v>245</v>
      </c>
      <c r="K347" s="7">
        <f t="shared" si="112"/>
        <v>35.699999999999996</v>
      </c>
      <c r="L347" s="7">
        <f t="shared" si="113"/>
        <v>28</v>
      </c>
      <c r="M347" s="7">
        <f t="shared" si="114"/>
        <v>25.2</v>
      </c>
      <c r="N347" s="7">
        <f t="shared" si="105"/>
        <v>6.8627450980392162</v>
      </c>
      <c r="O347" s="7">
        <f t="shared" si="106"/>
        <v>8.75</v>
      </c>
      <c r="P347" s="4">
        <f t="shared" si="107"/>
        <v>9.7222222222222232</v>
      </c>
      <c r="Q347" s="4">
        <f t="shared" si="108"/>
        <v>571.05274509803917</v>
      </c>
      <c r="R347" s="4">
        <f t="shared" si="109"/>
        <v>728.09224999999992</v>
      </c>
      <c r="S347" s="4">
        <f t="shared" si="110"/>
        <v>808.99138888888876</v>
      </c>
    </row>
    <row r="348" spans="1:19" ht="33" hidden="1" customHeight="1" x14ac:dyDescent="0.25">
      <c r="A348" s="5">
        <v>346</v>
      </c>
      <c r="B348" s="5">
        <v>257</v>
      </c>
      <c r="C348" s="6" t="s">
        <v>438</v>
      </c>
      <c r="D348" s="5">
        <v>193</v>
      </c>
      <c r="E348" s="7">
        <v>2.23</v>
      </c>
      <c r="F348" s="7">
        <f t="shared" si="103"/>
        <v>430.39</v>
      </c>
      <c r="G348" s="8">
        <f t="shared" si="111"/>
        <v>430.39</v>
      </c>
      <c r="H348" s="4">
        <f t="shared" si="104"/>
        <v>548.74724999999989</v>
      </c>
      <c r="I348" s="4">
        <f t="shared" si="115"/>
        <v>609.71916666666664</v>
      </c>
      <c r="J348" s="17">
        <v>245</v>
      </c>
      <c r="K348" s="7">
        <f t="shared" si="112"/>
        <v>35.699999999999996</v>
      </c>
      <c r="L348" s="7">
        <f t="shared" si="113"/>
        <v>28</v>
      </c>
      <c r="M348" s="7">
        <f t="shared" si="114"/>
        <v>25.2</v>
      </c>
      <c r="N348" s="7">
        <f t="shared" si="105"/>
        <v>6.8627450980392162</v>
      </c>
      <c r="O348" s="7">
        <f t="shared" si="106"/>
        <v>8.75</v>
      </c>
      <c r="P348" s="4">
        <f t="shared" si="107"/>
        <v>9.7222222222222232</v>
      </c>
      <c r="Q348" s="4">
        <f t="shared" si="108"/>
        <v>437.25274509803921</v>
      </c>
      <c r="R348" s="4">
        <f t="shared" si="109"/>
        <v>557.49724999999989</v>
      </c>
      <c r="S348" s="4">
        <f t="shared" si="110"/>
        <v>619.44138888888881</v>
      </c>
    </row>
    <row r="349" spans="1:19" ht="33" hidden="1" customHeight="1" x14ac:dyDescent="0.25">
      <c r="A349" s="5">
        <v>347</v>
      </c>
      <c r="B349" s="5">
        <v>258</v>
      </c>
      <c r="C349" s="6" t="s">
        <v>439</v>
      </c>
      <c r="D349" s="5">
        <v>124</v>
      </c>
      <c r="E349" s="7">
        <v>2.23</v>
      </c>
      <c r="F349" s="7">
        <f t="shared" si="103"/>
        <v>276.52</v>
      </c>
      <c r="G349" s="8">
        <f t="shared" si="111"/>
        <v>276.52</v>
      </c>
      <c r="H349" s="4">
        <f t="shared" si="104"/>
        <v>352.56299999999993</v>
      </c>
      <c r="I349" s="4">
        <f t="shared" si="115"/>
        <v>391.73666666666662</v>
      </c>
      <c r="J349" s="17">
        <v>215</v>
      </c>
      <c r="K349" s="7">
        <f t="shared" si="112"/>
        <v>35.699999999999996</v>
      </c>
      <c r="L349" s="7">
        <f t="shared" si="113"/>
        <v>28</v>
      </c>
      <c r="M349" s="7">
        <f t="shared" si="114"/>
        <v>25.2</v>
      </c>
      <c r="N349" s="7">
        <f t="shared" si="105"/>
        <v>6.022408963585435</v>
      </c>
      <c r="O349" s="7">
        <f t="shared" si="106"/>
        <v>7.6785714285714288</v>
      </c>
      <c r="P349" s="4">
        <f t="shared" si="107"/>
        <v>8.5317460317460316</v>
      </c>
      <c r="Q349" s="4">
        <f t="shared" si="108"/>
        <v>282.54240896358544</v>
      </c>
      <c r="R349" s="4">
        <f t="shared" si="109"/>
        <v>360.24157142857138</v>
      </c>
      <c r="S349" s="4">
        <f t="shared" si="110"/>
        <v>400.26841269841265</v>
      </c>
    </row>
    <row r="350" spans="1:19" ht="33" hidden="1" customHeight="1" x14ac:dyDescent="0.25">
      <c r="A350" s="5">
        <v>348</v>
      </c>
      <c r="B350" s="5">
        <v>259</v>
      </c>
      <c r="C350" s="6" t="s">
        <v>440</v>
      </c>
      <c r="D350" s="5">
        <v>215</v>
      </c>
      <c r="E350" s="7">
        <v>2.23</v>
      </c>
      <c r="F350" s="7">
        <f t="shared" si="103"/>
        <v>479.45</v>
      </c>
      <c r="G350" s="8">
        <f t="shared" si="111"/>
        <v>479.45</v>
      </c>
      <c r="H350" s="4">
        <f t="shared" si="104"/>
        <v>611.29874999999993</v>
      </c>
      <c r="I350" s="4">
        <f t="shared" si="115"/>
        <v>679.2208333333333</v>
      </c>
      <c r="J350" s="17">
        <v>245</v>
      </c>
      <c r="K350" s="7">
        <f t="shared" si="112"/>
        <v>35.699999999999996</v>
      </c>
      <c r="L350" s="7">
        <f t="shared" si="113"/>
        <v>28</v>
      </c>
      <c r="M350" s="7">
        <f t="shared" si="114"/>
        <v>25.2</v>
      </c>
      <c r="N350" s="7">
        <f t="shared" si="105"/>
        <v>6.8627450980392162</v>
      </c>
      <c r="O350" s="7">
        <f t="shared" si="106"/>
        <v>8.75</v>
      </c>
      <c r="P350" s="4">
        <f t="shared" si="107"/>
        <v>9.7222222222222232</v>
      </c>
      <c r="Q350" s="4">
        <f t="shared" si="108"/>
        <v>486.31274509803922</v>
      </c>
      <c r="R350" s="4">
        <f t="shared" si="109"/>
        <v>620.04874999999993</v>
      </c>
      <c r="S350" s="4">
        <f t="shared" si="110"/>
        <v>688.94305555555547</v>
      </c>
    </row>
    <row r="351" spans="1:19" ht="33" hidden="1" customHeight="1" x14ac:dyDescent="0.25">
      <c r="A351" s="5">
        <v>349</v>
      </c>
      <c r="B351" s="5">
        <v>260</v>
      </c>
      <c r="C351" s="6" t="s">
        <v>441</v>
      </c>
      <c r="D351" s="5">
        <v>184</v>
      </c>
      <c r="E351" s="7">
        <v>2.23</v>
      </c>
      <c r="F351" s="7">
        <f t="shared" si="103"/>
        <v>410.32</v>
      </c>
      <c r="G351" s="8">
        <f t="shared" si="111"/>
        <v>410.32</v>
      </c>
      <c r="H351" s="4">
        <f t="shared" si="104"/>
        <v>523.1579999999999</v>
      </c>
      <c r="I351" s="4">
        <f t="shared" si="115"/>
        <v>581.28666666666663</v>
      </c>
      <c r="J351" s="17">
        <v>785</v>
      </c>
      <c r="K351" s="7">
        <f t="shared" si="112"/>
        <v>35.699999999999996</v>
      </c>
      <c r="L351" s="7">
        <f t="shared" si="113"/>
        <v>28</v>
      </c>
      <c r="M351" s="7">
        <f t="shared" si="114"/>
        <v>25.2</v>
      </c>
      <c r="N351" s="7">
        <f t="shared" si="105"/>
        <v>21.988795518207287</v>
      </c>
      <c r="O351" s="7">
        <f t="shared" si="106"/>
        <v>28.035714285714285</v>
      </c>
      <c r="P351" s="4">
        <f t="shared" si="107"/>
        <v>31.150793650793652</v>
      </c>
      <c r="Q351" s="4">
        <f t="shared" si="108"/>
        <v>432.30879551820726</v>
      </c>
      <c r="R351" s="4">
        <f t="shared" si="109"/>
        <v>551.19371428571424</v>
      </c>
      <c r="S351" s="4">
        <f t="shared" si="110"/>
        <v>612.43746031746025</v>
      </c>
    </row>
    <row r="352" spans="1:19" ht="33" hidden="1" customHeight="1" x14ac:dyDescent="0.25">
      <c r="A352" s="5">
        <v>350</v>
      </c>
      <c r="B352" s="5">
        <v>261</v>
      </c>
      <c r="C352" s="6" t="s">
        <v>442</v>
      </c>
      <c r="D352" s="5">
        <v>307</v>
      </c>
      <c r="E352" s="7">
        <v>2.23</v>
      </c>
      <c r="F352" s="7">
        <f t="shared" si="103"/>
        <v>684.61</v>
      </c>
      <c r="G352" s="8">
        <f t="shared" si="111"/>
        <v>684.61</v>
      </c>
      <c r="H352" s="4">
        <f t="shared" si="104"/>
        <v>872.87774999999999</v>
      </c>
      <c r="I352" s="4">
        <f t="shared" si="115"/>
        <v>969.86416666666673</v>
      </c>
      <c r="J352" s="17">
        <v>450</v>
      </c>
      <c r="K352" s="7">
        <f t="shared" si="112"/>
        <v>35.699999999999996</v>
      </c>
      <c r="L352" s="7">
        <f t="shared" si="113"/>
        <v>28</v>
      </c>
      <c r="M352" s="7">
        <f t="shared" si="114"/>
        <v>25.2</v>
      </c>
      <c r="N352" s="7">
        <f t="shared" si="105"/>
        <v>12.605042016806724</v>
      </c>
      <c r="O352" s="7">
        <f t="shared" si="106"/>
        <v>16.071428571428573</v>
      </c>
      <c r="P352" s="4">
        <f t="shared" si="107"/>
        <v>17.857142857142858</v>
      </c>
      <c r="Q352" s="4">
        <f t="shared" si="108"/>
        <v>697.21504201680671</v>
      </c>
      <c r="R352" s="4">
        <f t="shared" si="109"/>
        <v>888.94917857142855</v>
      </c>
      <c r="S352" s="4">
        <f t="shared" si="110"/>
        <v>987.72130952380962</v>
      </c>
    </row>
    <row r="353" spans="1:19" ht="33" hidden="1" customHeight="1" x14ac:dyDescent="0.25">
      <c r="A353" s="5">
        <v>351</v>
      </c>
      <c r="B353" s="5">
        <v>262</v>
      </c>
      <c r="C353" s="6" t="s">
        <v>443</v>
      </c>
      <c r="D353" s="5">
        <v>188</v>
      </c>
      <c r="E353" s="7">
        <v>2.23</v>
      </c>
      <c r="F353" s="7">
        <f t="shared" si="103"/>
        <v>419.24</v>
      </c>
      <c r="G353" s="8">
        <f t="shared" si="111"/>
        <v>419.24</v>
      </c>
      <c r="H353" s="4">
        <f t="shared" si="104"/>
        <v>534.53099999999995</v>
      </c>
      <c r="I353" s="4">
        <f t="shared" si="115"/>
        <v>593.9233333333334</v>
      </c>
      <c r="J353" s="17">
        <v>305</v>
      </c>
      <c r="K353" s="7">
        <f t="shared" si="112"/>
        <v>35.699999999999996</v>
      </c>
      <c r="L353" s="7">
        <f t="shared" si="113"/>
        <v>28</v>
      </c>
      <c r="M353" s="7">
        <f t="shared" si="114"/>
        <v>25.2</v>
      </c>
      <c r="N353" s="7">
        <f t="shared" si="105"/>
        <v>8.5434173669467803</v>
      </c>
      <c r="O353" s="7">
        <f t="shared" si="106"/>
        <v>10.892857142857142</v>
      </c>
      <c r="P353" s="4">
        <f t="shared" si="107"/>
        <v>12.103174603174603</v>
      </c>
      <c r="Q353" s="4">
        <f t="shared" si="108"/>
        <v>427.78341736694676</v>
      </c>
      <c r="R353" s="4">
        <f t="shared" si="109"/>
        <v>545.42385714285706</v>
      </c>
      <c r="S353" s="4">
        <f t="shared" si="110"/>
        <v>606.02650793650798</v>
      </c>
    </row>
    <row r="354" spans="1:19" ht="33" hidden="1" customHeight="1" x14ac:dyDescent="0.25">
      <c r="A354" s="5">
        <v>352</v>
      </c>
      <c r="B354" s="5">
        <v>263</v>
      </c>
      <c r="C354" s="6" t="s">
        <v>444</v>
      </c>
      <c r="D354" s="5">
        <v>718</v>
      </c>
      <c r="E354" s="7">
        <v>2.23</v>
      </c>
      <c r="F354" s="7">
        <f t="shared" ref="F354:F417" si="116">D354*E354</f>
        <v>1601.14</v>
      </c>
      <c r="G354" s="8">
        <f t="shared" si="111"/>
        <v>1601.14</v>
      </c>
      <c r="H354" s="4">
        <f t="shared" ref="H354:H417" si="117">F354*(51/40)</f>
        <v>2041.4535000000001</v>
      </c>
      <c r="I354" s="4">
        <f t="shared" si="115"/>
        <v>2268.2816666666668</v>
      </c>
      <c r="J354" s="17">
        <v>1605</v>
      </c>
      <c r="K354" s="7">
        <f t="shared" si="112"/>
        <v>35.699999999999996</v>
      </c>
      <c r="L354" s="7">
        <f t="shared" si="113"/>
        <v>28</v>
      </c>
      <c r="M354" s="7">
        <f t="shared" si="114"/>
        <v>25.2</v>
      </c>
      <c r="N354" s="7">
        <f t="shared" ref="N354:N417" si="118">J354/K354</f>
        <v>44.957983193277315</v>
      </c>
      <c r="O354" s="7">
        <f t="shared" ref="O354:O417" si="119">J354/L354</f>
        <v>57.321428571428569</v>
      </c>
      <c r="P354" s="4">
        <f t="shared" ref="P354:P417" si="120">J354/M354</f>
        <v>63.69047619047619</v>
      </c>
      <c r="Q354" s="4">
        <f t="shared" ref="Q354:Q417" si="121">F354+N354</f>
        <v>1646.0979831932775</v>
      </c>
      <c r="R354" s="4">
        <f t="shared" ref="R354:S417" si="122">H354+O354</f>
        <v>2098.7749285714285</v>
      </c>
      <c r="S354" s="4">
        <f t="shared" si="122"/>
        <v>2331.9721428571429</v>
      </c>
    </row>
    <row r="355" spans="1:19" ht="33" hidden="1" customHeight="1" x14ac:dyDescent="0.25">
      <c r="A355" s="5">
        <v>353</v>
      </c>
      <c r="B355" s="5">
        <v>264</v>
      </c>
      <c r="C355" s="6" t="s">
        <v>445</v>
      </c>
      <c r="D355" s="5">
        <v>684</v>
      </c>
      <c r="E355" s="7">
        <v>2.23</v>
      </c>
      <c r="F355" s="7">
        <f t="shared" si="116"/>
        <v>1525.32</v>
      </c>
      <c r="G355" s="8">
        <f t="shared" si="111"/>
        <v>1525.32</v>
      </c>
      <c r="H355" s="4">
        <f t="shared" si="117"/>
        <v>1944.7829999999997</v>
      </c>
      <c r="I355" s="4">
        <f t="shared" si="115"/>
        <v>2160.87</v>
      </c>
      <c r="J355" s="17">
        <v>1605</v>
      </c>
      <c r="K355" s="7">
        <f t="shared" si="112"/>
        <v>35.699999999999996</v>
      </c>
      <c r="L355" s="7">
        <f t="shared" si="113"/>
        <v>28</v>
      </c>
      <c r="M355" s="7">
        <f t="shared" si="114"/>
        <v>25.2</v>
      </c>
      <c r="N355" s="7">
        <f t="shared" si="118"/>
        <v>44.957983193277315</v>
      </c>
      <c r="O355" s="7">
        <f t="shared" si="119"/>
        <v>57.321428571428569</v>
      </c>
      <c r="P355" s="4">
        <f t="shared" si="120"/>
        <v>63.69047619047619</v>
      </c>
      <c r="Q355" s="4">
        <f t="shared" si="121"/>
        <v>1570.2779831932774</v>
      </c>
      <c r="R355" s="4">
        <f t="shared" si="122"/>
        <v>2002.1044285714283</v>
      </c>
      <c r="S355" s="4">
        <f t="shared" si="122"/>
        <v>2224.560476190476</v>
      </c>
    </row>
    <row r="356" spans="1:19" ht="33" hidden="1" customHeight="1" x14ac:dyDescent="0.25">
      <c r="A356" s="5">
        <v>354</v>
      </c>
      <c r="B356" s="5">
        <v>265</v>
      </c>
      <c r="C356" s="6" t="s">
        <v>446</v>
      </c>
      <c r="D356" s="5">
        <v>291</v>
      </c>
      <c r="E356" s="7">
        <v>2.23</v>
      </c>
      <c r="F356" s="7">
        <f t="shared" si="116"/>
        <v>648.92999999999995</v>
      </c>
      <c r="G356" s="8">
        <f t="shared" ref="G356:G419" si="123">F356*(51/51)</f>
        <v>648.92999999999995</v>
      </c>
      <c r="H356" s="4">
        <f t="shared" si="117"/>
        <v>827.38574999999992</v>
      </c>
      <c r="I356" s="4">
        <f t="shared" si="115"/>
        <v>919.3175</v>
      </c>
      <c r="J356" s="17">
        <v>245</v>
      </c>
      <c r="K356" s="7">
        <f t="shared" ref="K356:K419" si="124">51*0.7</f>
        <v>35.699999999999996</v>
      </c>
      <c r="L356" s="7">
        <f t="shared" ref="L356:L419" si="125">40*0.7</f>
        <v>28</v>
      </c>
      <c r="M356" s="7">
        <f t="shared" ref="M356:M419" si="126">36*0.7</f>
        <v>25.2</v>
      </c>
      <c r="N356" s="7">
        <f t="shared" si="118"/>
        <v>6.8627450980392162</v>
      </c>
      <c r="O356" s="7">
        <f t="shared" si="119"/>
        <v>8.75</v>
      </c>
      <c r="P356" s="4">
        <f t="shared" si="120"/>
        <v>9.7222222222222232</v>
      </c>
      <c r="Q356" s="4">
        <f t="shared" si="121"/>
        <v>655.79274509803918</v>
      </c>
      <c r="R356" s="4">
        <f t="shared" si="122"/>
        <v>836.13574999999992</v>
      </c>
      <c r="S356" s="4">
        <f t="shared" si="122"/>
        <v>929.03972222222217</v>
      </c>
    </row>
    <row r="357" spans="1:19" ht="33" hidden="1" customHeight="1" x14ac:dyDescent="0.25">
      <c r="A357" s="5">
        <v>355</v>
      </c>
      <c r="B357" s="5">
        <v>266</v>
      </c>
      <c r="C357" s="6" t="s">
        <v>447</v>
      </c>
      <c r="D357" s="5">
        <v>266</v>
      </c>
      <c r="E357" s="7">
        <v>2.23</v>
      </c>
      <c r="F357" s="7">
        <f t="shared" si="116"/>
        <v>593.17999999999995</v>
      </c>
      <c r="G357" s="8">
        <f t="shared" si="123"/>
        <v>593.17999999999995</v>
      </c>
      <c r="H357" s="4">
        <f t="shared" si="117"/>
        <v>756.30449999999985</v>
      </c>
      <c r="I357" s="4">
        <f t="shared" si="115"/>
        <v>840.33833333333325</v>
      </c>
      <c r="J357" s="17">
        <v>1275</v>
      </c>
      <c r="K357" s="7">
        <f t="shared" si="124"/>
        <v>35.699999999999996</v>
      </c>
      <c r="L357" s="7">
        <f t="shared" si="125"/>
        <v>28</v>
      </c>
      <c r="M357" s="7">
        <f t="shared" si="126"/>
        <v>25.2</v>
      </c>
      <c r="N357" s="7">
        <f t="shared" si="118"/>
        <v>35.714285714285715</v>
      </c>
      <c r="O357" s="7">
        <f t="shared" si="119"/>
        <v>45.535714285714285</v>
      </c>
      <c r="P357" s="4">
        <f t="shared" si="120"/>
        <v>50.595238095238095</v>
      </c>
      <c r="Q357" s="4">
        <f t="shared" si="121"/>
        <v>628.89428571428562</v>
      </c>
      <c r="R357" s="4">
        <f t="shared" si="122"/>
        <v>801.84021428571418</v>
      </c>
      <c r="S357" s="4">
        <f t="shared" si="122"/>
        <v>890.93357142857133</v>
      </c>
    </row>
    <row r="358" spans="1:19" ht="33" hidden="1" customHeight="1" x14ac:dyDescent="0.25">
      <c r="A358" s="5">
        <v>356</v>
      </c>
      <c r="B358" s="5">
        <v>267</v>
      </c>
      <c r="C358" s="6" t="s">
        <v>448</v>
      </c>
      <c r="D358" s="5">
        <v>497</v>
      </c>
      <c r="E358" s="7">
        <v>2.23</v>
      </c>
      <c r="F358" s="7">
        <f t="shared" si="116"/>
        <v>1108.31</v>
      </c>
      <c r="G358" s="8">
        <f t="shared" si="123"/>
        <v>1108.31</v>
      </c>
      <c r="H358" s="4">
        <f t="shared" si="117"/>
        <v>1413.0952499999999</v>
      </c>
      <c r="I358" s="4">
        <f t="shared" si="115"/>
        <v>1570.1058333333333</v>
      </c>
      <c r="J358" s="17">
        <v>335</v>
      </c>
      <c r="K358" s="7">
        <f t="shared" si="124"/>
        <v>35.699999999999996</v>
      </c>
      <c r="L358" s="7">
        <f t="shared" si="125"/>
        <v>28</v>
      </c>
      <c r="M358" s="7">
        <f t="shared" si="126"/>
        <v>25.2</v>
      </c>
      <c r="N358" s="7">
        <f t="shared" si="118"/>
        <v>9.3837535014005606</v>
      </c>
      <c r="O358" s="7">
        <f t="shared" si="119"/>
        <v>11.964285714285714</v>
      </c>
      <c r="P358" s="4">
        <f t="shared" si="120"/>
        <v>13.293650793650794</v>
      </c>
      <c r="Q358" s="4">
        <f t="shared" si="121"/>
        <v>1117.6937535014006</v>
      </c>
      <c r="R358" s="4">
        <f t="shared" si="122"/>
        <v>1425.0595357142856</v>
      </c>
      <c r="S358" s="4">
        <f t="shared" si="122"/>
        <v>1583.3994841269841</v>
      </c>
    </row>
    <row r="359" spans="1:19" ht="33" hidden="1" customHeight="1" x14ac:dyDescent="0.25">
      <c r="A359" s="5">
        <v>357</v>
      </c>
      <c r="B359" s="5">
        <v>268</v>
      </c>
      <c r="C359" s="6" t="s">
        <v>449</v>
      </c>
      <c r="D359" s="5">
        <v>470</v>
      </c>
      <c r="E359" s="7">
        <v>2.23</v>
      </c>
      <c r="F359" s="7">
        <f t="shared" si="116"/>
        <v>1048.0999999999999</v>
      </c>
      <c r="G359" s="8">
        <f t="shared" si="123"/>
        <v>1048.0999999999999</v>
      </c>
      <c r="H359" s="4">
        <f t="shared" si="117"/>
        <v>1336.3274999999999</v>
      </c>
      <c r="I359" s="4">
        <f t="shared" si="115"/>
        <v>1484.8083333333334</v>
      </c>
      <c r="J359" s="17">
        <v>335</v>
      </c>
      <c r="K359" s="7">
        <f t="shared" si="124"/>
        <v>35.699999999999996</v>
      </c>
      <c r="L359" s="7">
        <f t="shared" si="125"/>
        <v>28</v>
      </c>
      <c r="M359" s="7">
        <f t="shared" si="126"/>
        <v>25.2</v>
      </c>
      <c r="N359" s="7">
        <f t="shared" si="118"/>
        <v>9.3837535014005606</v>
      </c>
      <c r="O359" s="7">
        <f t="shared" si="119"/>
        <v>11.964285714285714</v>
      </c>
      <c r="P359" s="4">
        <f t="shared" si="120"/>
        <v>13.293650793650794</v>
      </c>
      <c r="Q359" s="4">
        <f t="shared" si="121"/>
        <v>1057.4837535014005</v>
      </c>
      <c r="R359" s="4">
        <f t="shared" si="122"/>
        <v>1348.2917857142857</v>
      </c>
      <c r="S359" s="4">
        <f t="shared" si="122"/>
        <v>1498.1019841269842</v>
      </c>
    </row>
    <row r="360" spans="1:19" ht="33" hidden="1" customHeight="1" x14ac:dyDescent="0.25">
      <c r="A360" s="5">
        <v>358</v>
      </c>
      <c r="B360" s="5">
        <v>269</v>
      </c>
      <c r="C360" s="6" t="s">
        <v>326</v>
      </c>
      <c r="D360" s="5">
        <v>410</v>
      </c>
      <c r="E360" s="7">
        <v>2.23</v>
      </c>
      <c r="F360" s="7">
        <f t="shared" si="116"/>
        <v>914.3</v>
      </c>
      <c r="G360" s="8">
        <f t="shared" si="123"/>
        <v>914.3</v>
      </c>
      <c r="H360" s="4">
        <f t="shared" si="117"/>
        <v>1165.7324999999998</v>
      </c>
      <c r="I360" s="4">
        <f t="shared" si="115"/>
        <v>1295.2583333333332</v>
      </c>
      <c r="J360" s="17">
        <v>245</v>
      </c>
      <c r="K360" s="7">
        <f t="shared" si="124"/>
        <v>35.699999999999996</v>
      </c>
      <c r="L360" s="7">
        <f t="shared" si="125"/>
        <v>28</v>
      </c>
      <c r="M360" s="7">
        <f t="shared" si="126"/>
        <v>25.2</v>
      </c>
      <c r="N360" s="7">
        <f t="shared" si="118"/>
        <v>6.8627450980392162</v>
      </c>
      <c r="O360" s="7">
        <f t="shared" si="119"/>
        <v>8.75</v>
      </c>
      <c r="P360" s="4">
        <f t="shared" si="120"/>
        <v>9.7222222222222232</v>
      </c>
      <c r="Q360" s="4">
        <f t="shared" si="121"/>
        <v>921.16274509803918</v>
      </c>
      <c r="R360" s="4">
        <f t="shared" si="122"/>
        <v>1174.4824999999998</v>
      </c>
      <c r="S360" s="4">
        <f t="shared" si="122"/>
        <v>1304.9805555555554</v>
      </c>
    </row>
    <row r="361" spans="1:19" ht="33" hidden="1" customHeight="1" x14ac:dyDescent="0.25">
      <c r="A361" s="5">
        <v>359</v>
      </c>
      <c r="B361" s="5">
        <v>270</v>
      </c>
      <c r="C361" s="6" t="s">
        <v>450</v>
      </c>
      <c r="D361" s="5">
        <v>522</v>
      </c>
      <c r="E361" s="7">
        <v>2.23</v>
      </c>
      <c r="F361" s="7">
        <f t="shared" si="116"/>
        <v>1164.06</v>
      </c>
      <c r="G361" s="8">
        <f t="shared" si="123"/>
        <v>1164.06</v>
      </c>
      <c r="H361" s="4">
        <f t="shared" si="117"/>
        <v>1484.1764999999998</v>
      </c>
      <c r="I361" s="4">
        <f t="shared" si="115"/>
        <v>1649.085</v>
      </c>
      <c r="J361" s="17">
        <v>2930</v>
      </c>
      <c r="K361" s="7">
        <f t="shared" si="124"/>
        <v>35.699999999999996</v>
      </c>
      <c r="L361" s="7">
        <f t="shared" si="125"/>
        <v>28</v>
      </c>
      <c r="M361" s="7">
        <f t="shared" si="126"/>
        <v>25.2</v>
      </c>
      <c r="N361" s="7">
        <f t="shared" si="118"/>
        <v>82.072829131652668</v>
      </c>
      <c r="O361" s="7">
        <f t="shared" si="119"/>
        <v>104.64285714285714</v>
      </c>
      <c r="P361" s="4">
        <f t="shared" si="120"/>
        <v>116.26984126984128</v>
      </c>
      <c r="Q361" s="4">
        <f t="shared" si="121"/>
        <v>1246.1328291316527</v>
      </c>
      <c r="R361" s="4">
        <f t="shared" si="122"/>
        <v>1588.8193571428569</v>
      </c>
      <c r="S361" s="4">
        <f t="shared" si="122"/>
        <v>1765.3548412698412</v>
      </c>
    </row>
    <row r="362" spans="1:19" ht="33" hidden="1" customHeight="1" x14ac:dyDescent="0.25">
      <c r="A362" s="5">
        <v>360</v>
      </c>
      <c r="B362" s="5">
        <v>271</v>
      </c>
      <c r="C362" s="6" t="s">
        <v>327</v>
      </c>
      <c r="D362" s="5">
        <v>192</v>
      </c>
      <c r="E362" s="7">
        <v>2.23</v>
      </c>
      <c r="F362" s="7">
        <f t="shared" si="116"/>
        <v>428.15999999999997</v>
      </c>
      <c r="G362" s="8">
        <f t="shared" si="123"/>
        <v>428.15999999999997</v>
      </c>
      <c r="H362" s="4">
        <f t="shared" si="117"/>
        <v>545.90399999999988</v>
      </c>
      <c r="I362" s="4">
        <f t="shared" si="115"/>
        <v>606.55999999999995</v>
      </c>
      <c r="J362" s="17">
        <v>720</v>
      </c>
      <c r="K362" s="7">
        <f t="shared" si="124"/>
        <v>35.699999999999996</v>
      </c>
      <c r="L362" s="7">
        <f t="shared" si="125"/>
        <v>28</v>
      </c>
      <c r="M362" s="7">
        <f t="shared" si="126"/>
        <v>25.2</v>
      </c>
      <c r="N362" s="7">
        <f t="shared" si="118"/>
        <v>20.168067226890759</v>
      </c>
      <c r="O362" s="7">
        <f t="shared" si="119"/>
        <v>25.714285714285715</v>
      </c>
      <c r="P362" s="4">
        <f t="shared" si="120"/>
        <v>28.571428571428573</v>
      </c>
      <c r="Q362" s="4">
        <f t="shared" si="121"/>
        <v>448.32806722689071</v>
      </c>
      <c r="R362" s="4">
        <f t="shared" si="122"/>
        <v>571.61828571428555</v>
      </c>
      <c r="S362" s="4">
        <f t="shared" si="122"/>
        <v>635.1314285714285</v>
      </c>
    </row>
    <row r="363" spans="1:19" ht="33" hidden="1" customHeight="1" x14ac:dyDescent="0.25">
      <c r="A363" s="5">
        <v>361</v>
      </c>
      <c r="B363" s="5">
        <v>272</v>
      </c>
      <c r="C363" s="6" t="s">
        <v>328</v>
      </c>
      <c r="D363" s="5">
        <v>224</v>
      </c>
      <c r="E363" s="7">
        <v>2.23</v>
      </c>
      <c r="F363" s="7">
        <f t="shared" si="116"/>
        <v>499.52</v>
      </c>
      <c r="G363" s="8">
        <f t="shared" si="123"/>
        <v>499.52</v>
      </c>
      <c r="H363" s="4">
        <f t="shared" si="117"/>
        <v>636.88799999999992</v>
      </c>
      <c r="I363" s="4">
        <f t="shared" si="115"/>
        <v>707.65333333333331</v>
      </c>
      <c r="J363" s="17">
        <v>90</v>
      </c>
      <c r="K363" s="7">
        <f t="shared" si="124"/>
        <v>35.699999999999996</v>
      </c>
      <c r="L363" s="7">
        <f t="shared" si="125"/>
        <v>28</v>
      </c>
      <c r="M363" s="7">
        <f t="shared" si="126"/>
        <v>25.2</v>
      </c>
      <c r="N363" s="7">
        <f t="shared" si="118"/>
        <v>2.5210084033613449</v>
      </c>
      <c r="O363" s="7">
        <f t="shared" si="119"/>
        <v>3.2142857142857144</v>
      </c>
      <c r="P363" s="4">
        <f t="shared" si="120"/>
        <v>3.5714285714285716</v>
      </c>
      <c r="Q363" s="4">
        <f t="shared" si="121"/>
        <v>502.04100840336133</v>
      </c>
      <c r="R363" s="4">
        <f t="shared" si="122"/>
        <v>640.10228571428559</v>
      </c>
      <c r="S363" s="4">
        <f t="shared" si="122"/>
        <v>711.22476190476186</v>
      </c>
    </row>
    <row r="364" spans="1:19" ht="33" hidden="1" customHeight="1" x14ac:dyDescent="0.25">
      <c r="A364" s="5">
        <v>362</v>
      </c>
      <c r="B364" s="5">
        <v>273</v>
      </c>
      <c r="C364" s="6" t="s">
        <v>329</v>
      </c>
      <c r="D364" s="5">
        <v>221</v>
      </c>
      <c r="E364" s="7">
        <v>2.23</v>
      </c>
      <c r="F364" s="7">
        <f t="shared" si="116"/>
        <v>492.83</v>
      </c>
      <c r="G364" s="8">
        <f t="shared" si="123"/>
        <v>492.83</v>
      </c>
      <c r="H364" s="4">
        <f t="shared" si="117"/>
        <v>628.35824999999988</v>
      </c>
      <c r="I364" s="4">
        <f t="shared" si="115"/>
        <v>698.17583333333323</v>
      </c>
      <c r="J364" s="17">
        <v>235</v>
      </c>
      <c r="K364" s="7">
        <f t="shared" si="124"/>
        <v>35.699999999999996</v>
      </c>
      <c r="L364" s="7">
        <f t="shared" si="125"/>
        <v>28</v>
      </c>
      <c r="M364" s="7">
        <f t="shared" si="126"/>
        <v>25.2</v>
      </c>
      <c r="N364" s="7">
        <f t="shared" si="118"/>
        <v>6.5826330532212891</v>
      </c>
      <c r="O364" s="7">
        <f t="shared" si="119"/>
        <v>8.3928571428571423</v>
      </c>
      <c r="P364" s="4">
        <f t="shared" si="120"/>
        <v>9.325396825396826</v>
      </c>
      <c r="Q364" s="4">
        <f t="shared" si="121"/>
        <v>499.41263305322127</v>
      </c>
      <c r="R364" s="4">
        <f t="shared" si="122"/>
        <v>636.75110714285699</v>
      </c>
      <c r="S364" s="4">
        <f t="shared" si="122"/>
        <v>707.5012301587301</v>
      </c>
    </row>
    <row r="365" spans="1:19" ht="33" hidden="1" customHeight="1" x14ac:dyDescent="0.25">
      <c r="A365" s="5">
        <v>363</v>
      </c>
      <c r="B365" s="5">
        <v>274</v>
      </c>
      <c r="C365" s="6" t="s">
        <v>330</v>
      </c>
      <c r="D365" s="5">
        <v>219</v>
      </c>
      <c r="E365" s="7">
        <v>2.23</v>
      </c>
      <c r="F365" s="7">
        <f t="shared" si="116"/>
        <v>488.37</v>
      </c>
      <c r="G365" s="8">
        <f t="shared" si="123"/>
        <v>488.37</v>
      </c>
      <c r="H365" s="4">
        <f t="shared" si="117"/>
        <v>622.67174999999997</v>
      </c>
      <c r="I365" s="4">
        <f t="shared" si="115"/>
        <v>691.85749999999996</v>
      </c>
      <c r="J365" s="17">
        <v>265</v>
      </c>
      <c r="K365" s="7">
        <f t="shared" si="124"/>
        <v>35.699999999999996</v>
      </c>
      <c r="L365" s="7">
        <f t="shared" si="125"/>
        <v>28</v>
      </c>
      <c r="M365" s="7">
        <f t="shared" si="126"/>
        <v>25.2</v>
      </c>
      <c r="N365" s="7">
        <f t="shared" si="118"/>
        <v>7.4229691876750712</v>
      </c>
      <c r="O365" s="7">
        <f t="shared" si="119"/>
        <v>9.4642857142857135</v>
      </c>
      <c r="P365" s="4">
        <f t="shared" si="120"/>
        <v>10.515873015873016</v>
      </c>
      <c r="Q365" s="4">
        <f t="shared" si="121"/>
        <v>495.79296918767506</v>
      </c>
      <c r="R365" s="4">
        <f t="shared" si="122"/>
        <v>632.13603571428564</v>
      </c>
      <c r="S365" s="4">
        <f t="shared" si="122"/>
        <v>702.37337301587297</v>
      </c>
    </row>
    <row r="366" spans="1:19" ht="33" hidden="1" customHeight="1" x14ac:dyDescent="0.25">
      <c r="A366" s="5">
        <v>364</v>
      </c>
      <c r="B366" s="5">
        <v>275</v>
      </c>
      <c r="C366" s="6" t="s">
        <v>451</v>
      </c>
      <c r="D366" s="5">
        <v>260</v>
      </c>
      <c r="E366" s="7">
        <v>2.23</v>
      </c>
      <c r="F366" s="7">
        <f t="shared" si="116"/>
        <v>579.79999999999995</v>
      </c>
      <c r="G366" s="8">
        <f t="shared" si="123"/>
        <v>579.79999999999995</v>
      </c>
      <c r="H366" s="4">
        <f t="shared" si="117"/>
        <v>739.24499999999989</v>
      </c>
      <c r="I366" s="4">
        <f t="shared" si="115"/>
        <v>821.38333333333333</v>
      </c>
      <c r="J366" s="17">
        <v>215</v>
      </c>
      <c r="K366" s="7">
        <f t="shared" si="124"/>
        <v>35.699999999999996</v>
      </c>
      <c r="L366" s="7">
        <f t="shared" si="125"/>
        <v>28</v>
      </c>
      <c r="M366" s="7">
        <f t="shared" si="126"/>
        <v>25.2</v>
      </c>
      <c r="N366" s="7">
        <f t="shared" si="118"/>
        <v>6.022408963585435</v>
      </c>
      <c r="O366" s="7">
        <f t="shared" si="119"/>
        <v>7.6785714285714288</v>
      </c>
      <c r="P366" s="4">
        <f t="shared" si="120"/>
        <v>8.5317460317460316</v>
      </c>
      <c r="Q366" s="4">
        <f t="shared" si="121"/>
        <v>585.82240896358542</v>
      </c>
      <c r="R366" s="4">
        <f t="shared" si="122"/>
        <v>746.92357142857134</v>
      </c>
      <c r="S366" s="4">
        <f t="shared" si="122"/>
        <v>829.91507936507935</v>
      </c>
    </row>
    <row r="367" spans="1:19" ht="33" hidden="1" customHeight="1" x14ac:dyDescent="0.25">
      <c r="A367" s="5">
        <v>365</v>
      </c>
      <c r="B367" s="5">
        <v>276</v>
      </c>
      <c r="C367" s="6" t="s">
        <v>331</v>
      </c>
      <c r="D367" s="5">
        <v>644</v>
      </c>
      <c r="E367" s="7">
        <v>2.23</v>
      </c>
      <c r="F367" s="7">
        <f t="shared" si="116"/>
        <v>1436.12</v>
      </c>
      <c r="G367" s="8">
        <f t="shared" si="123"/>
        <v>1436.12</v>
      </c>
      <c r="H367" s="4">
        <f t="shared" si="117"/>
        <v>1831.0529999999997</v>
      </c>
      <c r="I367" s="4">
        <f t="shared" si="115"/>
        <v>2034.5033333333331</v>
      </c>
      <c r="J367" s="17">
        <v>1605</v>
      </c>
      <c r="K367" s="7">
        <f t="shared" si="124"/>
        <v>35.699999999999996</v>
      </c>
      <c r="L367" s="7">
        <f t="shared" si="125"/>
        <v>28</v>
      </c>
      <c r="M367" s="7">
        <f t="shared" si="126"/>
        <v>25.2</v>
      </c>
      <c r="N367" s="7">
        <f t="shared" si="118"/>
        <v>44.957983193277315</v>
      </c>
      <c r="O367" s="7">
        <f t="shared" si="119"/>
        <v>57.321428571428569</v>
      </c>
      <c r="P367" s="4">
        <f t="shared" si="120"/>
        <v>63.69047619047619</v>
      </c>
      <c r="Q367" s="4">
        <f t="shared" si="121"/>
        <v>1481.0779831932773</v>
      </c>
      <c r="R367" s="4">
        <f t="shared" si="122"/>
        <v>1888.3744285714283</v>
      </c>
      <c r="S367" s="4">
        <f t="shared" si="122"/>
        <v>2098.1938095238093</v>
      </c>
    </row>
    <row r="368" spans="1:19" ht="33" hidden="1" customHeight="1" x14ac:dyDescent="0.25">
      <c r="A368" s="5">
        <v>366</v>
      </c>
      <c r="B368" s="5">
        <v>277</v>
      </c>
      <c r="C368" s="6" t="s">
        <v>332</v>
      </c>
      <c r="D368" s="5">
        <v>158</v>
      </c>
      <c r="E368" s="7">
        <v>2.23</v>
      </c>
      <c r="F368" s="7">
        <f t="shared" si="116"/>
        <v>352.34</v>
      </c>
      <c r="G368" s="8">
        <f t="shared" si="123"/>
        <v>352.34</v>
      </c>
      <c r="H368" s="4">
        <f t="shared" si="117"/>
        <v>449.23349999999994</v>
      </c>
      <c r="I368" s="4">
        <f t="shared" si="115"/>
        <v>499.14833333333331</v>
      </c>
      <c r="J368" s="17">
        <v>90</v>
      </c>
      <c r="K368" s="7">
        <f t="shared" si="124"/>
        <v>35.699999999999996</v>
      </c>
      <c r="L368" s="7">
        <f t="shared" si="125"/>
        <v>28</v>
      </c>
      <c r="M368" s="7">
        <f t="shared" si="126"/>
        <v>25.2</v>
      </c>
      <c r="N368" s="7">
        <f t="shared" si="118"/>
        <v>2.5210084033613449</v>
      </c>
      <c r="O368" s="7">
        <f t="shared" si="119"/>
        <v>3.2142857142857144</v>
      </c>
      <c r="P368" s="4">
        <f t="shared" si="120"/>
        <v>3.5714285714285716</v>
      </c>
      <c r="Q368" s="4">
        <f t="shared" si="121"/>
        <v>354.86100840336132</v>
      </c>
      <c r="R368" s="4">
        <f t="shared" si="122"/>
        <v>452.44778571428566</v>
      </c>
      <c r="S368" s="4">
        <f t="shared" si="122"/>
        <v>502.71976190476187</v>
      </c>
    </row>
    <row r="369" spans="1:19" ht="33" hidden="1" customHeight="1" x14ac:dyDescent="0.25">
      <c r="A369" s="5">
        <v>367</v>
      </c>
      <c r="B369" s="5">
        <v>278</v>
      </c>
      <c r="C369" s="6" t="s">
        <v>452</v>
      </c>
      <c r="D369" s="5">
        <v>565</v>
      </c>
      <c r="E369" s="7">
        <v>2.23</v>
      </c>
      <c r="F369" s="7">
        <f t="shared" si="116"/>
        <v>1259.95</v>
      </c>
      <c r="G369" s="8">
        <f t="shared" si="123"/>
        <v>1259.95</v>
      </c>
      <c r="H369" s="4">
        <f t="shared" si="117"/>
        <v>1606.43625</v>
      </c>
      <c r="I369" s="4">
        <f t="shared" si="115"/>
        <v>1784.9291666666668</v>
      </c>
      <c r="J369" s="17">
        <v>1605</v>
      </c>
      <c r="K369" s="7">
        <f t="shared" si="124"/>
        <v>35.699999999999996</v>
      </c>
      <c r="L369" s="7">
        <f t="shared" si="125"/>
        <v>28</v>
      </c>
      <c r="M369" s="7">
        <f t="shared" si="126"/>
        <v>25.2</v>
      </c>
      <c r="N369" s="7">
        <f t="shared" si="118"/>
        <v>44.957983193277315</v>
      </c>
      <c r="O369" s="7">
        <f t="shared" si="119"/>
        <v>57.321428571428569</v>
      </c>
      <c r="P369" s="4">
        <f t="shared" si="120"/>
        <v>63.69047619047619</v>
      </c>
      <c r="Q369" s="4">
        <f t="shared" si="121"/>
        <v>1304.9079831932775</v>
      </c>
      <c r="R369" s="4">
        <f t="shared" si="122"/>
        <v>1663.7576785714286</v>
      </c>
      <c r="S369" s="4">
        <f t="shared" si="122"/>
        <v>1848.6196428571429</v>
      </c>
    </row>
    <row r="370" spans="1:19" ht="33" hidden="1" customHeight="1" x14ac:dyDescent="0.25">
      <c r="A370" s="5">
        <v>368</v>
      </c>
      <c r="B370" s="5">
        <v>279</v>
      </c>
      <c r="C370" s="6" t="s">
        <v>453</v>
      </c>
      <c r="D370" s="5">
        <v>547</v>
      </c>
      <c r="E370" s="7">
        <v>2.23</v>
      </c>
      <c r="F370" s="7">
        <f t="shared" si="116"/>
        <v>1219.81</v>
      </c>
      <c r="G370" s="8">
        <f t="shared" si="123"/>
        <v>1219.81</v>
      </c>
      <c r="H370" s="4">
        <f t="shared" si="117"/>
        <v>1555.2577499999998</v>
      </c>
      <c r="I370" s="4">
        <f t="shared" si="115"/>
        <v>1728.0641666666666</v>
      </c>
      <c r="J370" s="17">
        <v>525</v>
      </c>
      <c r="K370" s="7">
        <f t="shared" si="124"/>
        <v>35.699999999999996</v>
      </c>
      <c r="L370" s="7">
        <f t="shared" si="125"/>
        <v>28</v>
      </c>
      <c r="M370" s="7">
        <f t="shared" si="126"/>
        <v>25.2</v>
      </c>
      <c r="N370" s="7">
        <f t="shared" si="118"/>
        <v>14.705882352941178</v>
      </c>
      <c r="O370" s="7">
        <f t="shared" si="119"/>
        <v>18.75</v>
      </c>
      <c r="P370" s="4">
        <f t="shared" si="120"/>
        <v>20.833333333333332</v>
      </c>
      <c r="Q370" s="4">
        <f t="shared" si="121"/>
        <v>1234.5158823529412</v>
      </c>
      <c r="R370" s="4">
        <f t="shared" si="122"/>
        <v>1574.0077499999998</v>
      </c>
      <c r="S370" s="4">
        <f t="shared" si="122"/>
        <v>1748.8974999999998</v>
      </c>
    </row>
    <row r="371" spans="1:19" ht="33" hidden="1" customHeight="1" x14ac:dyDescent="0.25">
      <c r="A371" s="5">
        <v>369</v>
      </c>
      <c r="B371" s="5">
        <v>280</v>
      </c>
      <c r="C371" s="6" t="s">
        <v>454</v>
      </c>
      <c r="D371" s="5">
        <v>624</v>
      </c>
      <c r="E371" s="7">
        <v>2.23</v>
      </c>
      <c r="F371" s="7">
        <f t="shared" si="116"/>
        <v>1391.52</v>
      </c>
      <c r="G371" s="8">
        <f t="shared" si="123"/>
        <v>1391.52</v>
      </c>
      <c r="H371" s="4">
        <f t="shared" si="117"/>
        <v>1774.1879999999999</v>
      </c>
      <c r="I371" s="4">
        <f t="shared" si="115"/>
        <v>1971.3200000000002</v>
      </c>
      <c r="J371" s="17">
        <v>1475</v>
      </c>
      <c r="K371" s="7">
        <f t="shared" si="124"/>
        <v>35.699999999999996</v>
      </c>
      <c r="L371" s="7">
        <f t="shared" si="125"/>
        <v>28</v>
      </c>
      <c r="M371" s="7">
        <f t="shared" si="126"/>
        <v>25.2</v>
      </c>
      <c r="N371" s="7">
        <f t="shared" si="118"/>
        <v>41.31652661064426</v>
      </c>
      <c r="O371" s="7">
        <f t="shared" si="119"/>
        <v>52.678571428571431</v>
      </c>
      <c r="P371" s="4">
        <f t="shared" si="120"/>
        <v>58.531746031746032</v>
      </c>
      <c r="Q371" s="4">
        <f t="shared" si="121"/>
        <v>1432.8365266106443</v>
      </c>
      <c r="R371" s="4">
        <f t="shared" si="122"/>
        <v>1826.8665714285712</v>
      </c>
      <c r="S371" s="4">
        <f t="shared" si="122"/>
        <v>2029.8517460317462</v>
      </c>
    </row>
    <row r="372" spans="1:19" ht="33" hidden="1" customHeight="1" x14ac:dyDescent="0.25">
      <c r="A372" s="5">
        <v>370</v>
      </c>
      <c r="B372" s="5">
        <v>281</v>
      </c>
      <c r="C372" s="6" t="s">
        <v>455</v>
      </c>
      <c r="D372" s="5">
        <v>387</v>
      </c>
      <c r="E372" s="7">
        <v>2.23</v>
      </c>
      <c r="F372" s="7">
        <f t="shared" si="116"/>
        <v>863.01</v>
      </c>
      <c r="G372" s="8">
        <f t="shared" si="123"/>
        <v>863.01</v>
      </c>
      <c r="H372" s="4">
        <f t="shared" si="117"/>
        <v>1100.3377499999999</v>
      </c>
      <c r="I372" s="4">
        <f t="shared" si="115"/>
        <v>1222.5975000000001</v>
      </c>
      <c r="J372" s="17">
        <v>525</v>
      </c>
      <c r="K372" s="7">
        <f t="shared" si="124"/>
        <v>35.699999999999996</v>
      </c>
      <c r="L372" s="7">
        <f t="shared" si="125"/>
        <v>28</v>
      </c>
      <c r="M372" s="7">
        <f t="shared" si="126"/>
        <v>25.2</v>
      </c>
      <c r="N372" s="7">
        <f t="shared" si="118"/>
        <v>14.705882352941178</v>
      </c>
      <c r="O372" s="7">
        <f t="shared" si="119"/>
        <v>18.75</v>
      </c>
      <c r="P372" s="4">
        <f t="shared" si="120"/>
        <v>20.833333333333332</v>
      </c>
      <c r="Q372" s="4">
        <f t="shared" si="121"/>
        <v>877.71588235294121</v>
      </c>
      <c r="R372" s="4">
        <f t="shared" si="122"/>
        <v>1119.0877499999999</v>
      </c>
      <c r="S372" s="4">
        <f t="shared" si="122"/>
        <v>1243.4308333333333</v>
      </c>
    </row>
    <row r="373" spans="1:19" ht="33" hidden="1" customHeight="1" x14ac:dyDescent="0.25">
      <c r="A373" s="5">
        <v>371</v>
      </c>
      <c r="B373" s="5">
        <v>282</v>
      </c>
      <c r="C373" s="6" t="s">
        <v>456</v>
      </c>
      <c r="D373" s="5">
        <v>690</v>
      </c>
      <c r="E373" s="7">
        <v>2.23</v>
      </c>
      <c r="F373" s="7">
        <f t="shared" si="116"/>
        <v>1538.7</v>
      </c>
      <c r="G373" s="8">
        <f t="shared" si="123"/>
        <v>1538.7</v>
      </c>
      <c r="H373" s="4">
        <f t="shared" si="117"/>
        <v>1961.8425</v>
      </c>
      <c r="I373" s="4">
        <f t="shared" si="115"/>
        <v>2179.8249999999998</v>
      </c>
      <c r="J373" s="17">
        <v>3450</v>
      </c>
      <c r="K373" s="7">
        <f t="shared" si="124"/>
        <v>35.699999999999996</v>
      </c>
      <c r="L373" s="7">
        <f t="shared" si="125"/>
        <v>28</v>
      </c>
      <c r="M373" s="7">
        <f t="shared" si="126"/>
        <v>25.2</v>
      </c>
      <c r="N373" s="7">
        <f t="shared" si="118"/>
        <v>96.638655462184886</v>
      </c>
      <c r="O373" s="7">
        <f t="shared" si="119"/>
        <v>123.21428571428571</v>
      </c>
      <c r="P373" s="4">
        <f t="shared" si="120"/>
        <v>136.9047619047619</v>
      </c>
      <c r="Q373" s="4">
        <f t="shared" si="121"/>
        <v>1635.338655462185</v>
      </c>
      <c r="R373" s="4">
        <f t="shared" si="122"/>
        <v>2085.0567857142855</v>
      </c>
      <c r="S373" s="4">
        <f t="shared" si="122"/>
        <v>2316.7297619047617</v>
      </c>
    </row>
    <row r="374" spans="1:19" ht="33" hidden="1" customHeight="1" x14ac:dyDescent="0.25">
      <c r="A374" s="5">
        <v>372</v>
      </c>
      <c r="B374" s="5">
        <v>283</v>
      </c>
      <c r="C374" s="6" t="s">
        <v>457</v>
      </c>
      <c r="D374" s="5">
        <v>452</v>
      </c>
      <c r="E374" s="7">
        <v>2.23</v>
      </c>
      <c r="F374" s="7">
        <f t="shared" si="116"/>
        <v>1007.96</v>
      </c>
      <c r="G374" s="8">
        <f t="shared" si="123"/>
        <v>1007.96</v>
      </c>
      <c r="H374" s="4">
        <f t="shared" si="117"/>
        <v>1285.1489999999999</v>
      </c>
      <c r="I374" s="4">
        <f t="shared" si="115"/>
        <v>1427.9433333333334</v>
      </c>
      <c r="J374" s="17">
        <v>1350</v>
      </c>
      <c r="K374" s="7">
        <f t="shared" si="124"/>
        <v>35.699999999999996</v>
      </c>
      <c r="L374" s="7">
        <f t="shared" si="125"/>
        <v>28</v>
      </c>
      <c r="M374" s="7">
        <f t="shared" si="126"/>
        <v>25.2</v>
      </c>
      <c r="N374" s="7">
        <f t="shared" si="118"/>
        <v>37.815126050420176</v>
      </c>
      <c r="O374" s="7">
        <f t="shared" si="119"/>
        <v>48.214285714285715</v>
      </c>
      <c r="P374" s="4">
        <f t="shared" si="120"/>
        <v>53.571428571428569</v>
      </c>
      <c r="Q374" s="4">
        <f t="shared" si="121"/>
        <v>1045.7751260504201</v>
      </c>
      <c r="R374" s="4">
        <f t="shared" si="122"/>
        <v>1333.3632857142857</v>
      </c>
      <c r="S374" s="4">
        <f t="shared" si="122"/>
        <v>1481.5147619047621</v>
      </c>
    </row>
    <row r="375" spans="1:19" ht="33" hidden="1" customHeight="1" x14ac:dyDescent="0.25">
      <c r="A375" s="5">
        <v>373</v>
      </c>
      <c r="B375" s="5">
        <v>284</v>
      </c>
      <c r="C375" s="6" t="s">
        <v>458</v>
      </c>
      <c r="D375" s="5">
        <v>476</v>
      </c>
      <c r="E375" s="7">
        <v>2.23</v>
      </c>
      <c r="F375" s="7">
        <f t="shared" si="116"/>
        <v>1061.48</v>
      </c>
      <c r="G375" s="8">
        <f t="shared" si="123"/>
        <v>1061.48</v>
      </c>
      <c r="H375" s="4">
        <f t="shared" si="117"/>
        <v>1353.3869999999999</v>
      </c>
      <c r="I375" s="4">
        <f t="shared" si="115"/>
        <v>1503.7633333333333</v>
      </c>
      <c r="J375" s="17">
        <v>1450</v>
      </c>
      <c r="K375" s="7">
        <f t="shared" si="124"/>
        <v>35.699999999999996</v>
      </c>
      <c r="L375" s="7">
        <f t="shared" si="125"/>
        <v>28</v>
      </c>
      <c r="M375" s="7">
        <f t="shared" si="126"/>
        <v>25.2</v>
      </c>
      <c r="N375" s="7">
        <f t="shared" si="118"/>
        <v>40.616246498599445</v>
      </c>
      <c r="O375" s="7">
        <f t="shared" si="119"/>
        <v>51.785714285714285</v>
      </c>
      <c r="P375" s="4">
        <f t="shared" si="120"/>
        <v>57.539682539682538</v>
      </c>
      <c r="Q375" s="4">
        <f t="shared" si="121"/>
        <v>1102.0962464985994</v>
      </c>
      <c r="R375" s="4">
        <f t="shared" si="122"/>
        <v>1405.1727142857142</v>
      </c>
      <c r="S375" s="4">
        <f t="shared" si="122"/>
        <v>1561.303015873016</v>
      </c>
    </row>
    <row r="376" spans="1:19" ht="33" hidden="1" customHeight="1" x14ac:dyDescent="0.25">
      <c r="A376" s="5">
        <v>374</v>
      </c>
      <c r="B376" s="5">
        <v>285</v>
      </c>
      <c r="C376" s="6" t="s">
        <v>459</v>
      </c>
      <c r="D376" s="5">
        <v>432</v>
      </c>
      <c r="E376" s="7">
        <v>2.23</v>
      </c>
      <c r="F376" s="7">
        <f t="shared" si="116"/>
        <v>963.36</v>
      </c>
      <c r="G376" s="8">
        <f t="shared" si="123"/>
        <v>963.36</v>
      </c>
      <c r="H376" s="4">
        <f t="shared" si="117"/>
        <v>1228.2839999999999</v>
      </c>
      <c r="I376" s="4">
        <f t="shared" si="115"/>
        <v>1364.76</v>
      </c>
      <c r="J376" s="17">
        <v>1450</v>
      </c>
      <c r="K376" s="7">
        <f t="shared" si="124"/>
        <v>35.699999999999996</v>
      </c>
      <c r="L376" s="7">
        <f t="shared" si="125"/>
        <v>28</v>
      </c>
      <c r="M376" s="7">
        <f t="shared" si="126"/>
        <v>25.2</v>
      </c>
      <c r="N376" s="7">
        <f t="shared" si="118"/>
        <v>40.616246498599445</v>
      </c>
      <c r="O376" s="7">
        <f t="shared" si="119"/>
        <v>51.785714285714285</v>
      </c>
      <c r="P376" s="4">
        <f t="shared" si="120"/>
        <v>57.539682539682538</v>
      </c>
      <c r="Q376" s="4">
        <f t="shared" si="121"/>
        <v>1003.9762464985995</v>
      </c>
      <c r="R376" s="4">
        <f t="shared" si="122"/>
        <v>1280.0697142857141</v>
      </c>
      <c r="S376" s="4">
        <f t="shared" si="122"/>
        <v>1422.2996825396826</v>
      </c>
    </row>
    <row r="377" spans="1:19" ht="33" hidden="1" customHeight="1" x14ac:dyDescent="0.25">
      <c r="A377" s="5">
        <v>375</v>
      </c>
      <c r="B377" s="5">
        <v>286</v>
      </c>
      <c r="C377" s="6" t="s">
        <v>460</v>
      </c>
      <c r="D377" s="5">
        <v>482</v>
      </c>
      <c r="E377" s="7">
        <v>2.23</v>
      </c>
      <c r="F377" s="7">
        <f t="shared" si="116"/>
        <v>1074.8599999999999</v>
      </c>
      <c r="G377" s="8">
        <f t="shared" si="123"/>
        <v>1074.8599999999999</v>
      </c>
      <c r="H377" s="4">
        <f t="shared" si="117"/>
        <v>1370.4464999999998</v>
      </c>
      <c r="I377" s="4">
        <f t="shared" ref="I377:I440" si="127">(F377*51)/36</f>
        <v>1522.7183333333332</v>
      </c>
      <c r="J377" s="17">
        <v>1450</v>
      </c>
      <c r="K377" s="7">
        <f t="shared" si="124"/>
        <v>35.699999999999996</v>
      </c>
      <c r="L377" s="7">
        <f t="shared" si="125"/>
        <v>28</v>
      </c>
      <c r="M377" s="7">
        <f t="shared" si="126"/>
        <v>25.2</v>
      </c>
      <c r="N377" s="7">
        <f t="shared" si="118"/>
        <v>40.616246498599445</v>
      </c>
      <c r="O377" s="7">
        <f t="shared" si="119"/>
        <v>51.785714285714285</v>
      </c>
      <c r="P377" s="4">
        <f t="shared" si="120"/>
        <v>57.539682539682538</v>
      </c>
      <c r="Q377" s="4">
        <f t="shared" si="121"/>
        <v>1115.4762464985993</v>
      </c>
      <c r="R377" s="4">
        <f t="shared" si="122"/>
        <v>1422.232214285714</v>
      </c>
      <c r="S377" s="4">
        <f t="shared" si="122"/>
        <v>1580.2580158730159</v>
      </c>
    </row>
    <row r="378" spans="1:19" ht="33" hidden="1" customHeight="1" x14ac:dyDescent="0.25">
      <c r="A378" s="5">
        <v>376</v>
      </c>
      <c r="B378" s="5">
        <v>287</v>
      </c>
      <c r="C378" s="6" t="s">
        <v>461</v>
      </c>
      <c r="D378" s="5">
        <v>540</v>
      </c>
      <c r="E378" s="7">
        <v>2.23</v>
      </c>
      <c r="F378" s="7">
        <f t="shared" si="116"/>
        <v>1204.2</v>
      </c>
      <c r="G378" s="8">
        <f t="shared" si="123"/>
        <v>1204.2</v>
      </c>
      <c r="H378" s="4">
        <f t="shared" si="117"/>
        <v>1535.355</v>
      </c>
      <c r="I378" s="4">
        <f t="shared" si="127"/>
        <v>1705.95</v>
      </c>
      <c r="J378" s="17">
        <v>1450</v>
      </c>
      <c r="K378" s="7">
        <f t="shared" si="124"/>
        <v>35.699999999999996</v>
      </c>
      <c r="L378" s="7">
        <f t="shared" si="125"/>
        <v>28</v>
      </c>
      <c r="M378" s="7">
        <f t="shared" si="126"/>
        <v>25.2</v>
      </c>
      <c r="N378" s="7">
        <f t="shared" si="118"/>
        <v>40.616246498599445</v>
      </c>
      <c r="O378" s="7">
        <f t="shared" si="119"/>
        <v>51.785714285714285</v>
      </c>
      <c r="P378" s="4">
        <f t="shared" si="120"/>
        <v>57.539682539682538</v>
      </c>
      <c r="Q378" s="4">
        <f t="shared" si="121"/>
        <v>1244.8162464985994</v>
      </c>
      <c r="R378" s="4">
        <f t="shared" si="122"/>
        <v>1587.1407142857142</v>
      </c>
      <c r="S378" s="4">
        <f t="shared" si="122"/>
        <v>1763.4896825396827</v>
      </c>
    </row>
    <row r="379" spans="1:19" ht="33" hidden="1" customHeight="1" x14ac:dyDescent="0.25">
      <c r="A379" s="5">
        <v>377</v>
      </c>
      <c r="B379" s="5">
        <v>288</v>
      </c>
      <c r="C379" s="6" t="s">
        <v>462</v>
      </c>
      <c r="D379" s="5">
        <v>370</v>
      </c>
      <c r="E379" s="7">
        <v>2.23</v>
      </c>
      <c r="F379" s="7">
        <f t="shared" si="116"/>
        <v>825.1</v>
      </c>
      <c r="G379" s="8">
        <f t="shared" si="123"/>
        <v>825.1</v>
      </c>
      <c r="H379" s="4">
        <f t="shared" si="117"/>
        <v>1052.0025000000001</v>
      </c>
      <c r="I379" s="4">
        <f t="shared" si="127"/>
        <v>1168.8916666666667</v>
      </c>
      <c r="J379" s="17">
        <v>2970</v>
      </c>
      <c r="K379" s="7">
        <f t="shared" si="124"/>
        <v>35.699999999999996</v>
      </c>
      <c r="L379" s="7">
        <f t="shared" si="125"/>
        <v>28</v>
      </c>
      <c r="M379" s="7">
        <f t="shared" si="126"/>
        <v>25.2</v>
      </c>
      <c r="N379" s="7">
        <f t="shared" si="118"/>
        <v>83.193277310924373</v>
      </c>
      <c r="O379" s="7">
        <f t="shared" si="119"/>
        <v>106.07142857142857</v>
      </c>
      <c r="P379" s="4">
        <f t="shared" si="120"/>
        <v>117.85714285714286</v>
      </c>
      <c r="Q379" s="4">
        <f t="shared" si="121"/>
        <v>908.2932773109244</v>
      </c>
      <c r="R379" s="4">
        <f t="shared" si="122"/>
        <v>1158.0739285714287</v>
      </c>
      <c r="S379" s="4">
        <f t="shared" si="122"/>
        <v>1286.7488095238095</v>
      </c>
    </row>
    <row r="380" spans="1:19" ht="33" hidden="1" customHeight="1" x14ac:dyDescent="0.25">
      <c r="A380" s="5">
        <v>378</v>
      </c>
      <c r="B380" s="5">
        <v>289</v>
      </c>
      <c r="C380" s="6" t="s">
        <v>463</v>
      </c>
      <c r="D380" s="5">
        <v>575</v>
      </c>
      <c r="E380" s="7">
        <v>2.23</v>
      </c>
      <c r="F380" s="7">
        <f t="shared" si="116"/>
        <v>1282.25</v>
      </c>
      <c r="G380" s="8">
        <f t="shared" si="123"/>
        <v>1282.25</v>
      </c>
      <c r="H380" s="4">
        <f t="shared" si="117"/>
        <v>1634.8687499999999</v>
      </c>
      <c r="I380" s="4">
        <f t="shared" si="127"/>
        <v>1816.5208333333333</v>
      </c>
      <c r="J380" s="17">
        <v>3060</v>
      </c>
      <c r="K380" s="7">
        <f t="shared" si="124"/>
        <v>35.699999999999996</v>
      </c>
      <c r="L380" s="7">
        <f t="shared" si="125"/>
        <v>28</v>
      </c>
      <c r="M380" s="7">
        <f t="shared" si="126"/>
        <v>25.2</v>
      </c>
      <c r="N380" s="7">
        <f t="shared" si="118"/>
        <v>85.714285714285722</v>
      </c>
      <c r="O380" s="7">
        <f t="shared" si="119"/>
        <v>109.28571428571429</v>
      </c>
      <c r="P380" s="4">
        <f t="shared" si="120"/>
        <v>121.42857142857143</v>
      </c>
      <c r="Q380" s="4">
        <f t="shared" si="121"/>
        <v>1367.9642857142858</v>
      </c>
      <c r="R380" s="4">
        <f t="shared" si="122"/>
        <v>1744.1544642857141</v>
      </c>
      <c r="S380" s="4">
        <f t="shared" si="122"/>
        <v>1937.9494047619046</v>
      </c>
    </row>
    <row r="381" spans="1:19" ht="33" hidden="1" customHeight="1" x14ac:dyDescent="0.25">
      <c r="A381" s="5">
        <v>379</v>
      </c>
      <c r="B381" s="5">
        <v>290</v>
      </c>
      <c r="C381" s="6" t="s">
        <v>333</v>
      </c>
      <c r="D381" s="5">
        <v>445</v>
      </c>
      <c r="E381" s="7">
        <v>2.23</v>
      </c>
      <c r="F381" s="7">
        <f t="shared" si="116"/>
        <v>992.35</v>
      </c>
      <c r="G381" s="8">
        <f t="shared" si="123"/>
        <v>992.35</v>
      </c>
      <c r="H381" s="4">
        <f t="shared" si="117"/>
        <v>1265.2462499999999</v>
      </c>
      <c r="I381" s="4">
        <f t="shared" si="127"/>
        <v>1405.8291666666667</v>
      </c>
      <c r="J381" s="17">
        <v>2970</v>
      </c>
      <c r="K381" s="7">
        <f t="shared" si="124"/>
        <v>35.699999999999996</v>
      </c>
      <c r="L381" s="7">
        <f t="shared" si="125"/>
        <v>28</v>
      </c>
      <c r="M381" s="7">
        <f t="shared" si="126"/>
        <v>25.2</v>
      </c>
      <c r="N381" s="7">
        <f t="shared" si="118"/>
        <v>83.193277310924373</v>
      </c>
      <c r="O381" s="7">
        <f t="shared" si="119"/>
        <v>106.07142857142857</v>
      </c>
      <c r="P381" s="4">
        <f t="shared" si="120"/>
        <v>117.85714285714286</v>
      </c>
      <c r="Q381" s="4">
        <f t="shared" si="121"/>
        <v>1075.5432773109244</v>
      </c>
      <c r="R381" s="4">
        <f t="shared" si="122"/>
        <v>1371.3176785714286</v>
      </c>
      <c r="S381" s="4">
        <f t="shared" si="122"/>
        <v>1523.6863095238095</v>
      </c>
    </row>
    <row r="382" spans="1:19" ht="33" hidden="1" customHeight="1" x14ac:dyDescent="0.25">
      <c r="A382" s="5">
        <v>380</v>
      </c>
      <c r="B382" s="5">
        <v>291</v>
      </c>
      <c r="C382" s="6" t="s">
        <v>334</v>
      </c>
      <c r="D382" s="5">
        <v>491</v>
      </c>
      <c r="E382" s="7">
        <v>2.23</v>
      </c>
      <c r="F382" s="7">
        <f t="shared" si="116"/>
        <v>1094.93</v>
      </c>
      <c r="G382" s="8">
        <f t="shared" si="123"/>
        <v>1094.93</v>
      </c>
      <c r="H382" s="4">
        <f t="shared" si="117"/>
        <v>1396.03575</v>
      </c>
      <c r="I382" s="4">
        <f t="shared" si="127"/>
        <v>1551.1508333333334</v>
      </c>
      <c r="J382" s="17">
        <v>3060</v>
      </c>
      <c r="K382" s="7">
        <f t="shared" si="124"/>
        <v>35.699999999999996</v>
      </c>
      <c r="L382" s="7">
        <f t="shared" si="125"/>
        <v>28</v>
      </c>
      <c r="M382" s="7">
        <f t="shared" si="126"/>
        <v>25.2</v>
      </c>
      <c r="N382" s="7">
        <f t="shared" si="118"/>
        <v>85.714285714285722</v>
      </c>
      <c r="O382" s="7">
        <f t="shared" si="119"/>
        <v>109.28571428571429</v>
      </c>
      <c r="P382" s="4">
        <f t="shared" si="120"/>
        <v>121.42857142857143</v>
      </c>
      <c r="Q382" s="4">
        <f t="shared" si="121"/>
        <v>1180.6442857142858</v>
      </c>
      <c r="R382" s="4">
        <f t="shared" si="122"/>
        <v>1505.3214642857142</v>
      </c>
      <c r="S382" s="4">
        <f t="shared" si="122"/>
        <v>1672.5794047619047</v>
      </c>
    </row>
    <row r="383" spans="1:19" ht="33" hidden="1" customHeight="1" x14ac:dyDescent="0.25">
      <c r="A383" s="5">
        <v>381</v>
      </c>
      <c r="B383" s="5">
        <v>292</v>
      </c>
      <c r="C383" s="6" t="s">
        <v>335</v>
      </c>
      <c r="D383" s="5">
        <v>325</v>
      </c>
      <c r="E383" s="7">
        <v>2.23</v>
      </c>
      <c r="F383" s="7">
        <f t="shared" si="116"/>
        <v>724.75</v>
      </c>
      <c r="G383" s="8">
        <f t="shared" si="123"/>
        <v>724.75</v>
      </c>
      <c r="H383" s="4">
        <f t="shared" si="117"/>
        <v>924.05624999999998</v>
      </c>
      <c r="I383" s="4">
        <f t="shared" si="127"/>
        <v>1026.7291666666667</v>
      </c>
      <c r="J383" s="17">
        <v>880</v>
      </c>
      <c r="K383" s="7">
        <f t="shared" si="124"/>
        <v>35.699999999999996</v>
      </c>
      <c r="L383" s="7">
        <f t="shared" si="125"/>
        <v>28</v>
      </c>
      <c r="M383" s="7">
        <f t="shared" si="126"/>
        <v>25.2</v>
      </c>
      <c r="N383" s="7">
        <f t="shared" si="118"/>
        <v>24.649859943977592</v>
      </c>
      <c r="O383" s="7">
        <f t="shared" si="119"/>
        <v>31.428571428571427</v>
      </c>
      <c r="P383" s="4">
        <f t="shared" si="120"/>
        <v>34.920634920634924</v>
      </c>
      <c r="Q383" s="4">
        <f t="shared" si="121"/>
        <v>749.39985994397762</v>
      </c>
      <c r="R383" s="4">
        <f t="shared" si="122"/>
        <v>955.48482142857142</v>
      </c>
      <c r="S383" s="4">
        <f t="shared" si="122"/>
        <v>1061.6498015873017</v>
      </c>
    </row>
    <row r="384" spans="1:19" ht="33" hidden="1" customHeight="1" x14ac:dyDescent="0.25">
      <c r="A384" s="5">
        <v>382</v>
      </c>
      <c r="B384" s="5">
        <v>293</v>
      </c>
      <c r="C384" s="6" t="s">
        <v>336</v>
      </c>
      <c r="D384" s="5">
        <v>156</v>
      </c>
      <c r="E384" s="7">
        <v>2.23</v>
      </c>
      <c r="F384" s="7">
        <f t="shared" si="116"/>
        <v>347.88</v>
      </c>
      <c r="G384" s="8">
        <f t="shared" si="123"/>
        <v>347.88</v>
      </c>
      <c r="H384" s="4">
        <f t="shared" si="117"/>
        <v>443.54699999999997</v>
      </c>
      <c r="I384" s="4">
        <f t="shared" si="127"/>
        <v>492.83000000000004</v>
      </c>
      <c r="J384" s="17">
        <v>90</v>
      </c>
      <c r="K384" s="7">
        <f t="shared" si="124"/>
        <v>35.699999999999996</v>
      </c>
      <c r="L384" s="7">
        <f t="shared" si="125"/>
        <v>28</v>
      </c>
      <c r="M384" s="7">
        <f t="shared" si="126"/>
        <v>25.2</v>
      </c>
      <c r="N384" s="7">
        <f t="shared" si="118"/>
        <v>2.5210084033613449</v>
      </c>
      <c r="O384" s="7">
        <f t="shared" si="119"/>
        <v>3.2142857142857144</v>
      </c>
      <c r="P384" s="4">
        <f t="shared" si="120"/>
        <v>3.5714285714285716</v>
      </c>
      <c r="Q384" s="4">
        <f t="shared" si="121"/>
        <v>350.40100840336135</v>
      </c>
      <c r="R384" s="4">
        <f t="shared" si="122"/>
        <v>446.76128571428569</v>
      </c>
      <c r="S384" s="4">
        <f t="shared" si="122"/>
        <v>496.4014285714286</v>
      </c>
    </row>
    <row r="385" spans="1:19" ht="33" hidden="1" customHeight="1" x14ac:dyDescent="0.25">
      <c r="A385" s="5">
        <v>383</v>
      </c>
      <c r="B385" s="5">
        <v>294</v>
      </c>
      <c r="C385" s="6" t="s">
        <v>464</v>
      </c>
      <c r="D385" s="5">
        <v>576</v>
      </c>
      <c r="E385" s="7">
        <v>2.23</v>
      </c>
      <c r="F385" s="7">
        <f t="shared" si="116"/>
        <v>1284.48</v>
      </c>
      <c r="G385" s="8">
        <f t="shared" si="123"/>
        <v>1284.48</v>
      </c>
      <c r="H385" s="4">
        <f t="shared" si="117"/>
        <v>1637.712</v>
      </c>
      <c r="I385" s="4">
        <f t="shared" si="127"/>
        <v>1819.68</v>
      </c>
      <c r="J385" s="17">
        <v>1450</v>
      </c>
      <c r="K385" s="7">
        <f t="shared" si="124"/>
        <v>35.699999999999996</v>
      </c>
      <c r="L385" s="7">
        <f t="shared" si="125"/>
        <v>28</v>
      </c>
      <c r="M385" s="7">
        <f t="shared" si="126"/>
        <v>25.2</v>
      </c>
      <c r="N385" s="7">
        <f t="shared" si="118"/>
        <v>40.616246498599445</v>
      </c>
      <c r="O385" s="7">
        <f t="shared" si="119"/>
        <v>51.785714285714285</v>
      </c>
      <c r="P385" s="4">
        <f t="shared" si="120"/>
        <v>57.539682539682538</v>
      </c>
      <c r="Q385" s="4">
        <f t="shared" si="121"/>
        <v>1325.0962464985994</v>
      </c>
      <c r="R385" s="4">
        <f t="shared" si="122"/>
        <v>1689.4977142857142</v>
      </c>
      <c r="S385" s="4">
        <f t="shared" si="122"/>
        <v>1877.2196825396827</v>
      </c>
    </row>
    <row r="386" spans="1:19" ht="33" hidden="1" customHeight="1" x14ac:dyDescent="0.25">
      <c r="A386" s="5">
        <v>384</v>
      </c>
      <c r="B386" s="5">
        <v>295</v>
      </c>
      <c r="C386" s="6" t="s">
        <v>465</v>
      </c>
      <c r="D386" s="5">
        <v>218</v>
      </c>
      <c r="E386" s="7">
        <v>2.23</v>
      </c>
      <c r="F386" s="7">
        <f t="shared" si="116"/>
        <v>486.14</v>
      </c>
      <c r="G386" s="8">
        <f t="shared" si="123"/>
        <v>486.14</v>
      </c>
      <c r="H386" s="4">
        <f t="shared" si="117"/>
        <v>619.82849999999996</v>
      </c>
      <c r="I386" s="4">
        <f t="shared" si="127"/>
        <v>688.69833333333327</v>
      </c>
      <c r="J386" s="17">
        <v>290</v>
      </c>
      <c r="K386" s="7">
        <f t="shared" si="124"/>
        <v>35.699999999999996</v>
      </c>
      <c r="L386" s="7">
        <f t="shared" si="125"/>
        <v>28</v>
      </c>
      <c r="M386" s="7">
        <f t="shared" si="126"/>
        <v>25.2</v>
      </c>
      <c r="N386" s="7">
        <f t="shared" si="118"/>
        <v>8.1232492997198893</v>
      </c>
      <c r="O386" s="7">
        <f t="shared" si="119"/>
        <v>10.357142857142858</v>
      </c>
      <c r="P386" s="4">
        <f t="shared" si="120"/>
        <v>11.507936507936508</v>
      </c>
      <c r="Q386" s="4">
        <f t="shared" si="121"/>
        <v>494.26324929971986</v>
      </c>
      <c r="R386" s="4">
        <f t="shared" si="122"/>
        <v>630.18564285714285</v>
      </c>
      <c r="S386" s="4">
        <f t="shared" si="122"/>
        <v>700.20626984126977</v>
      </c>
    </row>
    <row r="387" spans="1:19" ht="33" hidden="1" customHeight="1" x14ac:dyDescent="0.25">
      <c r="A387" s="5">
        <v>385</v>
      </c>
      <c r="B387" s="5">
        <v>296</v>
      </c>
      <c r="C387" s="6" t="s">
        <v>337</v>
      </c>
      <c r="D387" s="5">
        <v>139</v>
      </c>
      <c r="E387" s="7">
        <v>2.23</v>
      </c>
      <c r="F387" s="7">
        <f t="shared" si="116"/>
        <v>309.96999999999997</v>
      </c>
      <c r="G387" s="8">
        <f t="shared" si="123"/>
        <v>309.96999999999997</v>
      </c>
      <c r="H387" s="4">
        <f t="shared" si="117"/>
        <v>395.21174999999994</v>
      </c>
      <c r="I387" s="4">
        <f t="shared" si="127"/>
        <v>439.12416666666667</v>
      </c>
      <c r="J387" s="17">
        <v>785</v>
      </c>
      <c r="K387" s="7">
        <f t="shared" si="124"/>
        <v>35.699999999999996</v>
      </c>
      <c r="L387" s="7">
        <f t="shared" si="125"/>
        <v>28</v>
      </c>
      <c r="M387" s="7">
        <f t="shared" si="126"/>
        <v>25.2</v>
      </c>
      <c r="N387" s="7">
        <f t="shared" si="118"/>
        <v>21.988795518207287</v>
      </c>
      <c r="O387" s="7">
        <f t="shared" si="119"/>
        <v>28.035714285714285</v>
      </c>
      <c r="P387" s="4">
        <f t="shared" si="120"/>
        <v>31.150793650793652</v>
      </c>
      <c r="Q387" s="4">
        <f t="shared" si="121"/>
        <v>331.95879551820724</v>
      </c>
      <c r="R387" s="4">
        <f t="shared" si="122"/>
        <v>423.24746428571422</v>
      </c>
      <c r="S387" s="4">
        <f t="shared" si="122"/>
        <v>470.27496031746034</v>
      </c>
    </row>
    <row r="388" spans="1:19" ht="33" hidden="1" customHeight="1" x14ac:dyDescent="0.25">
      <c r="A388" s="5">
        <v>386</v>
      </c>
      <c r="B388" s="5">
        <v>297</v>
      </c>
      <c r="C388" s="6" t="s">
        <v>338</v>
      </c>
      <c r="D388" s="5">
        <v>175</v>
      </c>
      <c r="E388" s="7">
        <v>2.23</v>
      </c>
      <c r="F388" s="7">
        <f t="shared" si="116"/>
        <v>390.25</v>
      </c>
      <c r="G388" s="8">
        <f t="shared" si="123"/>
        <v>390.25</v>
      </c>
      <c r="H388" s="4">
        <f t="shared" si="117"/>
        <v>497.56874999999997</v>
      </c>
      <c r="I388" s="4">
        <f t="shared" si="127"/>
        <v>552.85416666666663</v>
      </c>
      <c r="J388" s="17">
        <v>265</v>
      </c>
      <c r="K388" s="7">
        <f t="shared" si="124"/>
        <v>35.699999999999996</v>
      </c>
      <c r="L388" s="7">
        <f t="shared" si="125"/>
        <v>28</v>
      </c>
      <c r="M388" s="7">
        <f t="shared" si="126"/>
        <v>25.2</v>
      </c>
      <c r="N388" s="7">
        <f t="shared" si="118"/>
        <v>7.4229691876750712</v>
      </c>
      <c r="O388" s="7">
        <f t="shared" si="119"/>
        <v>9.4642857142857135</v>
      </c>
      <c r="P388" s="4">
        <f t="shared" si="120"/>
        <v>10.515873015873016</v>
      </c>
      <c r="Q388" s="4">
        <f t="shared" si="121"/>
        <v>397.67296918767505</v>
      </c>
      <c r="R388" s="4">
        <f t="shared" si="122"/>
        <v>507.03303571428569</v>
      </c>
      <c r="S388" s="4">
        <f t="shared" si="122"/>
        <v>563.37003968253964</v>
      </c>
    </row>
    <row r="389" spans="1:19" ht="33" hidden="1" customHeight="1" x14ac:dyDescent="0.25">
      <c r="A389" s="5">
        <v>387</v>
      </c>
      <c r="B389" s="5">
        <v>298</v>
      </c>
      <c r="C389" s="6" t="s">
        <v>466</v>
      </c>
      <c r="D389" s="5">
        <v>148</v>
      </c>
      <c r="E389" s="7">
        <v>2.23</v>
      </c>
      <c r="F389" s="7">
        <f t="shared" si="116"/>
        <v>330.04</v>
      </c>
      <c r="G389" s="8">
        <f t="shared" si="123"/>
        <v>330.04</v>
      </c>
      <c r="H389" s="4">
        <f t="shared" si="117"/>
        <v>420.80099999999999</v>
      </c>
      <c r="I389" s="4">
        <f t="shared" si="127"/>
        <v>467.55666666666667</v>
      </c>
      <c r="J389" s="17">
        <v>235</v>
      </c>
      <c r="K389" s="7">
        <f t="shared" si="124"/>
        <v>35.699999999999996</v>
      </c>
      <c r="L389" s="7">
        <f t="shared" si="125"/>
        <v>28</v>
      </c>
      <c r="M389" s="7">
        <f t="shared" si="126"/>
        <v>25.2</v>
      </c>
      <c r="N389" s="7">
        <f t="shared" si="118"/>
        <v>6.5826330532212891</v>
      </c>
      <c r="O389" s="7">
        <f t="shared" si="119"/>
        <v>8.3928571428571423</v>
      </c>
      <c r="P389" s="4">
        <f t="shared" si="120"/>
        <v>9.325396825396826</v>
      </c>
      <c r="Q389" s="4">
        <f t="shared" si="121"/>
        <v>336.62263305322131</v>
      </c>
      <c r="R389" s="4">
        <f t="shared" si="122"/>
        <v>429.19385714285715</v>
      </c>
      <c r="S389" s="4">
        <f t="shared" si="122"/>
        <v>476.88206349206348</v>
      </c>
    </row>
    <row r="390" spans="1:19" ht="33" hidden="1" customHeight="1" x14ac:dyDescent="0.25">
      <c r="A390" s="5">
        <v>388</v>
      </c>
      <c r="B390" s="5">
        <v>319</v>
      </c>
      <c r="C390" s="6" t="s">
        <v>467</v>
      </c>
      <c r="D390" s="5">
        <v>438</v>
      </c>
      <c r="E390" s="7">
        <v>2.23</v>
      </c>
      <c r="F390" s="7">
        <f t="shared" si="116"/>
        <v>976.74</v>
      </c>
      <c r="G390" s="8">
        <f t="shared" si="123"/>
        <v>976.74</v>
      </c>
      <c r="H390" s="4">
        <f t="shared" si="117"/>
        <v>1245.3434999999999</v>
      </c>
      <c r="I390" s="4">
        <f t="shared" si="127"/>
        <v>1383.7149999999999</v>
      </c>
      <c r="J390" s="17">
        <v>245</v>
      </c>
      <c r="K390" s="7">
        <f t="shared" si="124"/>
        <v>35.699999999999996</v>
      </c>
      <c r="L390" s="7">
        <f t="shared" si="125"/>
        <v>28</v>
      </c>
      <c r="M390" s="7">
        <f t="shared" si="126"/>
        <v>25.2</v>
      </c>
      <c r="N390" s="7">
        <f t="shared" si="118"/>
        <v>6.8627450980392162</v>
      </c>
      <c r="O390" s="7">
        <f t="shared" si="119"/>
        <v>8.75</v>
      </c>
      <c r="P390" s="4">
        <f t="shared" si="120"/>
        <v>9.7222222222222232</v>
      </c>
      <c r="Q390" s="4">
        <f t="shared" si="121"/>
        <v>983.60274509803924</v>
      </c>
      <c r="R390" s="4">
        <f t="shared" si="122"/>
        <v>1254.0934999999999</v>
      </c>
      <c r="S390" s="4">
        <f t="shared" si="122"/>
        <v>1393.4372222222221</v>
      </c>
    </row>
    <row r="391" spans="1:19" ht="33" hidden="1" customHeight="1" x14ac:dyDescent="0.25">
      <c r="A391" s="5">
        <v>389</v>
      </c>
      <c r="B391" s="5">
        <v>320</v>
      </c>
      <c r="C391" s="6" t="s">
        <v>468</v>
      </c>
      <c r="D391" s="5">
        <v>358</v>
      </c>
      <c r="E391" s="7">
        <v>2.23</v>
      </c>
      <c r="F391" s="7">
        <f t="shared" si="116"/>
        <v>798.34</v>
      </c>
      <c r="G391" s="8">
        <f t="shared" si="123"/>
        <v>798.34</v>
      </c>
      <c r="H391" s="4">
        <f t="shared" si="117"/>
        <v>1017.8835</v>
      </c>
      <c r="I391" s="4">
        <f t="shared" si="127"/>
        <v>1130.9816666666668</v>
      </c>
      <c r="J391" s="17">
        <v>450</v>
      </c>
      <c r="K391" s="7">
        <f t="shared" si="124"/>
        <v>35.699999999999996</v>
      </c>
      <c r="L391" s="7">
        <f t="shared" si="125"/>
        <v>28</v>
      </c>
      <c r="M391" s="7">
        <f t="shared" si="126"/>
        <v>25.2</v>
      </c>
      <c r="N391" s="7">
        <f t="shared" si="118"/>
        <v>12.605042016806724</v>
      </c>
      <c r="O391" s="7">
        <f t="shared" si="119"/>
        <v>16.071428571428573</v>
      </c>
      <c r="P391" s="4">
        <f t="shared" si="120"/>
        <v>17.857142857142858</v>
      </c>
      <c r="Q391" s="4">
        <f t="shared" si="121"/>
        <v>810.94504201680672</v>
      </c>
      <c r="R391" s="4">
        <f t="shared" si="122"/>
        <v>1033.9549285714286</v>
      </c>
      <c r="S391" s="4">
        <f t="shared" si="122"/>
        <v>1148.8388095238097</v>
      </c>
    </row>
    <row r="392" spans="1:19" ht="33" hidden="1" customHeight="1" x14ac:dyDescent="0.25">
      <c r="A392" s="5">
        <v>390</v>
      </c>
      <c r="B392" s="5">
        <v>321</v>
      </c>
      <c r="C392" s="6" t="s">
        <v>469</v>
      </c>
      <c r="D392" s="5">
        <v>398</v>
      </c>
      <c r="E392" s="7">
        <v>2.23</v>
      </c>
      <c r="F392" s="7">
        <f t="shared" si="116"/>
        <v>887.54</v>
      </c>
      <c r="G392" s="8">
        <f t="shared" si="123"/>
        <v>887.54</v>
      </c>
      <c r="H392" s="4">
        <f t="shared" si="117"/>
        <v>1131.6134999999999</v>
      </c>
      <c r="I392" s="4">
        <f t="shared" si="127"/>
        <v>1257.3483333333334</v>
      </c>
      <c r="J392" s="17">
        <v>90</v>
      </c>
      <c r="K392" s="7">
        <f t="shared" si="124"/>
        <v>35.699999999999996</v>
      </c>
      <c r="L392" s="7">
        <f t="shared" si="125"/>
        <v>28</v>
      </c>
      <c r="M392" s="7">
        <f t="shared" si="126"/>
        <v>25.2</v>
      </c>
      <c r="N392" s="7">
        <f t="shared" si="118"/>
        <v>2.5210084033613449</v>
      </c>
      <c r="O392" s="7">
        <f t="shared" si="119"/>
        <v>3.2142857142857144</v>
      </c>
      <c r="P392" s="4">
        <f t="shared" si="120"/>
        <v>3.5714285714285716</v>
      </c>
      <c r="Q392" s="4">
        <f t="shared" si="121"/>
        <v>890.06100840336126</v>
      </c>
      <c r="R392" s="4">
        <f t="shared" si="122"/>
        <v>1134.8277857142857</v>
      </c>
      <c r="S392" s="4">
        <f t="shared" si="122"/>
        <v>1260.919761904762</v>
      </c>
    </row>
    <row r="393" spans="1:19" ht="33" hidden="1" customHeight="1" x14ac:dyDescent="0.25">
      <c r="A393" s="5">
        <v>391</v>
      </c>
      <c r="B393" s="5">
        <v>323</v>
      </c>
      <c r="C393" s="6" t="s">
        <v>470</v>
      </c>
      <c r="D393" s="5">
        <v>452</v>
      </c>
      <c r="E393" s="7">
        <v>2.23</v>
      </c>
      <c r="F393" s="7">
        <f t="shared" si="116"/>
        <v>1007.96</v>
      </c>
      <c r="G393" s="8">
        <f t="shared" si="123"/>
        <v>1007.96</v>
      </c>
      <c r="H393" s="4">
        <f t="shared" si="117"/>
        <v>1285.1489999999999</v>
      </c>
      <c r="I393" s="4">
        <f t="shared" si="127"/>
        <v>1427.9433333333334</v>
      </c>
      <c r="J393" s="17">
        <v>1450</v>
      </c>
      <c r="K393" s="7">
        <f t="shared" si="124"/>
        <v>35.699999999999996</v>
      </c>
      <c r="L393" s="7">
        <f t="shared" si="125"/>
        <v>28</v>
      </c>
      <c r="M393" s="7">
        <f t="shared" si="126"/>
        <v>25.2</v>
      </c>
      <c r="N393" s="7">
        <f t="shared" si="118"/>
        <v>40.616246498599445</v>
      </c>
      <c r="O393" s="7">
        <f t="shared" si="119"/>
        <v>51.785714285714285</v>
      </c>
      <c r="P393" s="4">
        <f t="shared" si="120"/>
        <v>57.539682539682538</v>
      </c>
      <c r="Q393" s="4">
        <f t="shared" si="121"/>
        <v>1048.5762464985994</v>
      </c>
      <c r="R393" s="4">
        <f t="shared" si="122"/>
        <v>1336.9347142857141</v>
      </c>
      <c r="S393" s="4">
        <f t="shared" si="122"/>
        <v>1485.483015873016</v>
      </c>
    </row>
    <row r="394" spans="1:19" ht="33" hidden="1" customHeight="1" x14ac:dyDescent="0.25">
      <c r="A394" s="5">
        <v>392</v>
      </c>
      <c r="B394" s="5">
        <v>324</v>
      </c>
      <c r="C394" s="6" t="s">
        <v>471</v>
      </c>
      <c r="D394" s="5">
        <v>310</v>
      </c>
      <c r="E394" s="7">
        <v>2.23</v>
      </c>
      <c r="F394" s="7">
        <f t="shared" si="116"/>
        <v>691.3</v>
      </c>
      <c r="G394" s="8">
        <f t="shared" si="123"/>
        <v>691.3</v>
      </c>
      <c r="H394" s="4">
        <f t="shared" si="117"/>
        <v>881.40749999999991</v>
      </c>
      <c r="I394" s="4">
        <f t="shared" si="127"/>
        <v>979.34166666666658</v>
      </c>
      <c r="J394" s="17">
        <v>1450</v>
      </c>
      <c r="K394" s="7">
        <f t="shared" si="124"/>
        <v>35.699999999999996</v>
      </c>
      <c r="L394" s="7">
        <f t="shared" si="125"/>
        <v>28</v>
      </c>
      <c r="M394" s="7">
        <f t="shared" si="126"/>
        <v>25.2</v>
      </c>
      <c r="N394" s="7">
        <f t="shared" si="118"/>
        <v>40.616246498599445</v>
      </c>
      <c r="O394" s="7">
        <f t="shared" si="119"/>
        <v>51.785714285714285</v>
      </c>
      <c r="P394" s="4">
        <f t="shared" si="120"/>
        <v>57.539682539682538</v>
      </c>
      <c r="Q394" s="4">
        <f t="shared" si="121"/>
        <v>731.91624649859943</v>
      </c>
      <c r="R394" s="4">
        <f t="shared" si="122"/>
        <v>933.19321428571425</v>
      </c>
      <c r="S394" s="4">
        <f t="shared" si="122"/>
        <v>1036.8813492063491</v>
      </c>
    </row>
    <row r="395" spans="1:19" ht="33" hidden="1" customHeight="1" x14ac:dyDescent="0.25">
      <c r="A395" s="5">
        <v>393</v>
      </c>
      <c r="B395" s="5">
        <v>325</v>
      </c>
      <c r="C395" s="6" t="s">
        <v>472</v>
      </c>
      <c r="D395" s="5">
        <v>326</v>
      </c>
      <c r="E395" s="7">
        <v>2.23</v>
      </c>
      <c r="F395" s="7">
        <f t="shared" si="116"/>
        <v>726.98</v>
      </c>
      <c r="G395" s="8">
        <f t="shared" si="123"/>
        <v>726.98</v>
      </c>
      <c r="H395" s="4">
        <f t="shared" si="117"/>
        <v>926.89949999999999</v>
      </c>
      <c r="I395" s="4">
        <f t="shared" si="127"/>
        <v>1029.8883333333333</v>
      </c>
      <c r="J395" s="17">
        <v>1245</v>
      </c>
      <c r="K395" s="7">
        <f t="shared" si="124"/>
        <v>35.699999999999996</v>
      </c>
      <c r="L395" s="7">
        <f t="shared" si="125"/>
        <v>28</v>
      </c>
      <c r="M395" s="7">
        <f t="shared" si="126"/>
        <v>25.2</v>
      </c>
      <c r="N395" s="7">
        <f t="shared" si="118"/>
        <v>34.873949579831937</v>
      </c>
      <c r="O395" s="7">
        <f t="shared" si="119"/>
        <v>44.464285714285715</v>
      </c>
      <c r="P395" s="4">
        <f t="shared" si="120"/>
        <v>49.404761904761905</v>
      </c>
      <c r="Q395" s="4">
        <f t="shared" si="121"/>
        <v>761.85394957983192</v>
      </c>
      <c r="R395" s="4">
        <f t="shared" si="122"/>
        <v>971.36378571428565</v>
      </c>
      <c r="S395" s="4">
        <f t="shared" si="122"/>
        <v>1079.2930952380952</v>
      </c>
    </row>
    <row r="396" spans="1:19" ht="33" hidden="1" customHeight="1" x14ac:dyDescent="0.25">
      <c r="A396" s="5">
        <v>394</v>
      </c>
      <c r="B396" s="5">
        <v>328</v>
      </c>
      <c r="C396" s="6" t="s">
        <v>473</v>
      </c>
      <c r="D396" s="5">
        <v>490</v>
      </c>
      <c r="E396" s="7">
        <v>2.23</v>
      </c>
      <c r="F396" s="7">
        <f t="shared" si="116"/>
        <v>1092.7</v>
      </c>
      <c r="G396" s="8">
        <f t="shared" si="123"/>
        <v>1092.7</v>
      </c>
      <c r="H396" s="4">
        <f t="shared" si="117"/>
        <v>1393.1924999999999</v>
      </c>
      <c r="I396" s="4">
        <f t="shared" si="127"/>
        <v>1547.9916666666668</v>
      </c>
      <c r="J396" s="17">
        <v>1260</v>
      </c>
      <c r="K396" s="7">
        <f t="shared" si="124"/>
        <v>35.699999999999996</v>
      </c>
      <c r="L396" s="7">
        <f t="shared" si="125"/>
        <v>28</v>
      </c>
      <c r="M396" s="7">
        <f t="shared" si="126"/>
        <v>25.2</v>
      </c>
      <c r="N396" s="7">
        <f t="shared" si="118"/>
        <v>35.294117647058826</v>
      </c>
      <c r="O396" s="7">
        <f t="shared" si="119"/>
        <v>45</v>
      </c>
      <c r="P396" s="4">
        <f t="shared" si="120"/>
        <v>50</v>
      </c>
      <c r="Q396" s="4">
        <f t="shared" si="121"/>
        <v>1127.9941176470588</v>
      </c>
      <c r="R396" s="4">
        <f t="shared" si="122"/>
        <v>1438.1924999999999</v>
      </c>
      <c r="S396" s="4">
        <f t="shared" si="122"/>
        <v>1597.9916666666668</v>
      </c>
    </row>
    <row r="397" spans="1:19" ht="33" hidden="1" customHeight="1" x14ac:dyDescent="0.25">
      <c r="A397" s="5">
        <v>395</v>
      </c>
      <c r="B397" s="5">
        <v>353</v>
      </c>
      <c r="C397" s="6" t="s">
        <v>339</v>
      </c>
      <c r="D397" s="5">
        <v>187</v>
      </c>
      <c r="E397" s="7">
        <v>2.23</v>
      </c>
      <c r="F397" s="7">
        <f t="shared" si="116"/>
        <v>417.01</v>
      </c>
      <c r="G397" s="8">
        <f t="shared" si="123"/>
        <v>417.01</v>
      </c>
      <c r="H397" s="4">
        <f t="shared" si="117"/>
        <v>531.68774999999994</v>
      </c>
      <c r="I397" s="4">
        <f t="shared" si="127"/>
        <v>590.7641666666666</v>
      </c>
      <c r="J397" s="17">
        <v>2695</v>
      </c>
      <c r="K397" s="7">
        <f t="shared" si="124"/>
        <v>35.699999999999996</v>
      </c>
      <c r="L397" s="7">
        <f t="shared" si="125"/>
        <v>28</v>
      </c>
      <c r="M397" s="7">
        <f t="shared" si="126"/>
        <v>25.2</v>
      </c>
      <c r="N397" s="7">
        <f t="shared" si="118"/>
        <v>75.490196078431381</v>
      </c>
      <c r="O397" s="7">
        <f t="shared" si="119"/>
        <v>96.25</v>
      </c>
      <c r="P397" s="4">
        <f t="shared" si="120"/>
        <v>106.94444444444444</v>
      </c>
      <c r="Q397" s="4">
        <f t="shared" si="121"/>
        <v>492.50019607843137</v>
      </c>
      <c r="R397" s="4">
        <f t="shared" si="122"/>
        <v>627.93774999999994</v>
      </c>
      <c r="S397" s="4">
        <f t="shared" si="122"/>
        <v>697.70861111111105</v>
      </c>
    </row>
    <row r="398" spans="1:19" ht="33" hidden="1" customHeight="1" x14ac:dyDescent="0.25">
      <c r="A398" s="5">
        <v>396</v>
      </c>
      <c r="B398" s="5">
        <v>356</v>
      </c>
      <c r="C398" s="6" t="s">
        <v>340</v>
      </c>
      <c r="D398" s="5">
        <v>296</v>
      </c>
      <c r="E398" s="7">
        <v>2.23</v>
      </c>
      <c r="F398" s="7">
        <f t="shared" si="116"/>
        <v>660.08</v>
      </c>
      <c r="G398" s="8">
        <f t="shared" si="123"/>
        <v>660.08</v>
      </c>
      <c r="H398" s="4">
        <f t="shared" si="117"/>
        <v>841.60199999999998</v>
      </c>
      <c r="I398" s="4">
        <f t="shared" si="127"/>
        <v>935.11333333333334</v>
      </c>
      <c r="J398" s="17">
        <v>495</v>
      </c>
      <c r="K398" s="7">
        <f t="shared" si="124"/>
        <v>35.699999999999996</v>
      </c>
      <c r="L398" s="7">
        <f t="shared" si="125"/>
        <v>28</v>
      </c>
      <c r="M398" s="7">
        <f t="shared" si="126"/>
        <v>25.2</v>
      </c>
      <c r="N398" s="7">
        <f t="shared" si="118"/>
        <v>13.865546218487397</v>
      </c>
      <c r="O398" s="7">
        <f t="shared" si="119"/>
        <v>17.678571428571427</v>
      </c>
      <c r="P398" s="4">
        <f t="shared" si="120"/>
        <v>19.642857142857142</v>
      </c>
      <c r="Q398" s="4">
        <f t="shared" si="121"/>
        <v>673.94554621848749</v>
      </c>
      <c r="R398" s="4">
        <f t="shared" si="122"/>
        <v>859.28057142857142</v>
      </c>
      <c r="S398" s="4">
        <f t="shared" si="122"/>
        <v>954.75619047619045</v>
      </c>
    </row>
    <row r="399" spans="1:19" ht="33" hidden="1" customHeight="1" x14ac:dyDescent="0.25">
      <c r="A399" s="5">
        <v>397</v>
      </c>
      <c r="B399" s="5">
        <v>359</v>
      </c>
      <c r="C399" s="6" t="s">
        <v>341</v>
      </c>
      <c r="D399" s="5">
        <v>178</v>
      </c>
      <c r="E399" s="7">
        <v>2.23</v>
      </c>
      <c r="F399" s="7">
        <f t="shared" si="116"/>
        <v>396.94</v>
      </c>
      <c r="G399" s="8">
        <f t="shared" si="123"/>
        <v>396.94</v>
      </c>
      <c r="H399" s="4">
        <f t="shared" si="117"/>
        <v>506.09849999999994</v>
      </c>
      <c r="I399" s="4">
        <f t="shared" si="127"/>
        <v>562.33166666666659</v>
      </c>
      <c r="J399" s="17">
        <v>1000</v>
      </c>
      <c r="K399" s="7">
        <f t="shared" si="124"/>
        <v>35.699999999999996</v>
      </c>
      <c r="L399" s="7">
        <f t="shared" si="125"/>
        <v>28</v>
      </c>
      <c r="M399" s="7">
        <f t="shared" si="126"/>
        <v>25.2</v>
      </c>
      <c r="N399" s="7">
        <f t="shared" si="118"/>
        <v>28.011204481792721</v>
      </c>
      <c r="O399" s="7">
        <f t="shared" si="119"/>
        <v>35.714285714285715</v>
      </c>
      <c r="P399" s="4">
        <f t="shared" si="120"/>
        <v>39.682539682539684</v>
      </c>
      <c r="Q399" s="4">
        <f t="shared" si="121"/>
        <v>424.95120448179273</v>
      </c>
      <c r="R399" s="4">
        <f t="shared" si="122"/>
        <v>541.81278571428561</v>
      </c>
      <c r="S399" s="4">
        <f t="shared" si="122"/>
        <v>602.01420634920623</v>
      </c>
    </row>
    <row r="400" spans="1:19" ht="33" hidden="1" customHeight="1" x14ac:dyDescent="0.25">
      <c r="A400" s="5">
        <v>398</v>
      </c>
      <c r="B400" s="5">
        <v>360</v>
      </c>
      <c r="C400" s="6" t="s">
        <v>342</v>
      </c>
      <c r="D400" s="5">
        <v>700</v>
      </c>
      <c r="E400" s="7">
        <v>2.23</v>
      </c>
      <c r="F400" s="7">
        <f t="shared" si="116"/>
        <v>1561</v>
      </c>
      <c r="G400" s="8">
        <f t="shared" si="123"/>
        <v>1561</v>
      </c>
      <c r="H400" s="4">
        <f t="shared" si="117"/>
        <v>1990.2749999999999</v>
      </c>
      <c r="I400" s="4">
        <f t="shared" si="127"/>
        <v>2211.4166666666665</v>
      </c>
      <c r="J400" s="17">
        <v>1425</v>
      </c>
      <c r="K400" s="7">
        <f t="shared" si="124"/>
        <v>35.699999999999996</v>
      </c>
      <c r="L400" s="7">
        <f t="shared" si="125"/>
        <v>28</v>
      </c>
      <c r="M400" s="7">
        <f t="shared" si="126"/>
        <v>25.2</v>
      </c>
      <c r="N400" s="7">
        <f t="shared" si="118"/>
        <v>39.915966386554629</v>
      </c>
      <c r="O400" s="7">
        <f t="shared" si="119"/>
        <v>50.892857142857146</v>
      </c>
      <c r="P400" s="4">
        <f t="shared" si="120"/>
        <v>56.547619047619051</v>
      </c>
      <c r="Q400" s="4">
        <f t="shared" si="121"/>
        <v>1600.9159663865546</v>
      </c>
      <c r="R400" s="4">
        <f t="shared" si="122"/>
        <v>2041.167857142857</v>
      </c>
      <c r="S400" s="4">
        <f t="shared" si="122"/>
        <v>2267.9642857142858</v>
      </c>
    </row>
    <row r="401" spans="1:19" ht="33" hidden="1" customHeight="1" x14ac:dyDescent="0.25">
      <c r="A401" s="5">
        <v>399</v>
      </c>
      <c r="B401" s="5">
        <v>361</v>
      </c>
      <c r="C401" s="6" t="s">
        <v>343</v>
      </c>
      <c r="D401" s="5">
        <v>435</v>
      </c>
      <c r="E401" s="7">
        <v>2.23</v>
      </c>
      <c r="F401" s="7">
        <f t="shared" si="116"/>
        <v>970.05</v>
      </c>
      <c r="G401" s="8">
        <f t="shared" si="123"/>
        <v>970.05</v>
      </c>
      <c r="H401" s="4">
        <f t="shared" si="117"/>
        <v>1236.8137499999998</v>
      </c>
      <c r="I401" s="4">
        <f t="shared" si="127"/>
        <v>1374.2375</v>
      </c>
      <c r="J401" s="17">
        <v>3180</v>
      </c>
      <c r="K401" s="7">
        <f t="shared" si="124"/>
        <v>35.699999999999996</v>
      </c>
      <c r="L401" s="7">
        <f t="shared" si="125"/>
        <v>28</v>
      </c>
      <c r="M401" s="7">
        <f t="shared" si="126"/>
        <v>25.2</v>
      </c>
      <c r="N401" s="7">
        <f t="shared" si="118"/>
        <v>89.075630252100851</v>
      </c>
      <c r="O401" s="7">
        <f t="shared" si="119"/>
        <v>113.57142857142857</v>
      </c>
      <c r="P401" s="4">
        <f t="shared" si="120"/>
        <v>126.19047619047619</v>
      </c>
      <c r="Q401" s="4">
        <f t="shared" si="121"/>
        <v>1059.1256302521008</v>
      </c>
      <c r="R401" s="4">
        <f t="shared" si="122"/>
        <v>1350.3851785714285</v>
      </c>
      <c r="S401" s="4">
        <f t="shared" si="122"/>
        <v>1500.4279761904761</v>
      </c>
    </row>
    <row r="402" spans="1:19" ht="33" hidden="1" customHeight="1" x14ac:dyDescent="0.25">
      <c r="A402" s="5">
        <v>400</v>
      </c>
      <c r="B402" s="5">
        <v>362</v>
      </c>
      <c r="C402" s="6" t="s">
        <v>344</v>
      </c>
      <c r="D402" s="5">
        <v>480</v>
      </c>
      <c r="E402" s="7">
        <v>2.23</v>
      </c>
      <c r="F402" s="7">
        <f t="shared" si="116"/>
        <v>1070.4000000000001</v>
      </c>
      <c r="G402" s="8">
        <f t="shared" si="123"/>
        <v>1070.4000000000001</v>
      </c>
      <c r="H402" s="4">
        <f t="shared" si="117"/>
        <v>1364.76</v>
      </c>
      <c r="I402" s="4">
        <f t="shared" si="127"/>
        <v>1516.4</v>
      </c>
      <c r="J402" s="17">
        <v>2400</v>
      </c>
      <c r="K402" s="7">
        <f t="shared" si="124"/>
        <v>35.699999999999996</v>
      </c>
      <c r="L402" s="7">
        <f t="shared" si="125"/>
        <v>28</v>
      </c>
      <c r="M402" s="7">
        <f t="shared" si="126"/>
        <v>25.2</v>
      </c>
      <c r="N402" s="7">
        <f t="shared" si="118"/>
        <v>67.226890756302524</v>
      </c>
      <c r="O402" s="7">
        <f t="shared" si="119"/>
        <v>85.714285714285708</v>
      </c>
      <c r="P402" s="4">
        <f t="shared" si="120"/>
        <v>95.238095238095241</v>
      </c>
      <c r="Q402" s="4">
        <f t="shared" si="121"/>
        <v>1137.6268907563026</v>
      </c>
      <c r="R402" s="4">
        <f t="shared" si="122"/>
        <v>1450.4742857142858</v>
      </c>
      <c r="S402" s="4">
        <f t="shared" si="122"/>
        <v>1611.6380952380953</v>
      </c>
    </row>
    <row r="403" spans="1:19" ht="33" hidden="1" customHeight="1" x14ac:dyDescent="0.25">
      <c r="A403" s="5">
        <v>401</v>
      </c>
      <c r="B403" s="5">
        <v>363</v>
      </c>
      <c r="C403" s="6" t="s">
        <v>345</v>
      </c>
      <c r="D403" s="5">
        <v>413</v>
      </c>
      <c r="E403" s="7">
        <v>2.23</v>
      </c>
      <c r="F403" s="7">
        <f t="shared" si="116"/>
        <v>920.99</v>
      </c>
      <c r="G403" s="8">
        <f t="shared" si="123"/>
        <v>920.99</v>
      </c>
      <c r="H403" s="4">
        <f t="shared" si="117"/>
        <v>1174.26225</v>
      </c>
      <c r="I403" s="4">
        <f t="shared" si="127"/>
        <v>1304.7358333333332</v>
      </c>
      <c r="J403" s="17">
        <v>2955</v>
      </c>
      <c r="K403" s="7">
        <f t="shared" si="124"/>
        <v>35.699999999999996</v>
      </c>
      <c r="L403" s="7">
        <f t="shared" si="125"/>
        <v>28</v>
      </c>
      <c r="M403" s="7">
        <f t="shared" si="126"/>
        <v>25.2</v>
      </c>
      <c r="N403" s="7">
        <f t="shared" si="118"/>
        <v>82.77310924369749</v>
      </c>
      <c r="O403" s="7">
        <f t="shared" si="119"/>
        <v>105.53571428571429</v>
      </c>
      <c r="P403" s="4">
        <f t="shared" si="120"/>
        <v>117.26190476190476</v>
      </c>
      <c r="Q403" s="4">
        <f t="shared" si="121"/>
        <v>1003.7631092436975</v>
      </c>
      <c r="R403" s="4">
        <f t="shared" si="122"/>
        <v>1279.7979642857142</v>
      </c>
      <c r="S403" s="4">
        <f t="shared" si="122"/>
        <v>1421.997738095238</v>
      </c>
    </row>
    <row r="404" spans="1:19" ht="33" hidden="1" customHeight="1" x14ac:dyDescent="0.25">
      <c r="A404" s="5">
        <v>402</v>
      </c>
      <c r="B404" s="5">
        <v>364</v>
      </c>
      <c r="C404" s="6" t="s">
        <v>346</v>
      </c>
      <c r="D404" s="12">
        <v>290</v>
      </c>
      <c r="E404" s="7">
        <v>2.23</v>
      </c>
      <c r="F404" s="7">
        <f t="shared" si="116"/>
        <v>646.70000000000005</v>
      </c>
      <c r="G404" s="8">
        <f t="shared" si="123"/>
        <v>646.70000000000005</v>
      </c>
      <c r="H404" s="4">
        <f t="shared" si="117"/>
        <v>824.54250000000002</v>
      </c>
      <c r="I404" s="4">
        <f t="shared" si="127"/>
        <v>916.15833333333342</v>
      </c>
      <c r="J404" s="17">
        <v>1050</v>
      </c>
      <c r="K404" s="7">
        <f t="shared" si="124"/>
        <v>35.699999999999996</v>
      </c>
      <c r="L404" s="7">
        <f t="shared" si="125"/>
        <v>28</v>
      </c>
      <c r="M404" s="7">
        <f t="shared" si="126"/>
        <v>25.2</v>
      </c>
      <c r="N404" s="7">
        <f t="shared" si="118"/>
        <v>29.411764705882355</v>
      </c>
      <c r="O404" s="7">
        <f t="shared" si="119"/>
        <v>37.5</v>
      </c>
      <c r="P404" s="4">
        <f t="shared" si="120"/>
        <v>41.666666666666664</v>
      </c>
      <c r="Q404" s="4">
        <f t="shared" si="121"/>
        <v>676.11176470588236</v>
      </c>
      <c r="R404" s="4">
        <f t="shared" si="122"/>
        <v>862.04250000000002</v>
      </c>
      <c r="S404" s="4">
        <f t="shared" si="122"/>
        <v>957.82500000000005</v>
      </c>
    </row>
    <row r="405" spans="1:19" ht="33" hidden="1" customHeight="1" x14ac:dyDescent="0.25">
      <c r="A405" s="5">
        <v>403</v>
      </c>
      <c r="B405" s="5">
        <v>366</v>
      </c>
      <c r="C405" s="6" t="s">
        <v>347</v>
      </c>
      <c r="D405" s="5">
        <v>308</v>
      </c>
      <c r="E405" s="7">
        <v>2.23</v>
      </c>
      <c r="F405" s="7">
        <f t="shared" si="116"/>
        <v>686.84</v>
      </c>
      <c r="G405" s="8">
        <f t="shared" si="123"/>
        <v>686.84</v>
      </c>
      <c r="H405" s="4">
        <f t="shared" si="117"/>
        <v>875.721</v>
      </c>
      <c r="I405" s="4">
        <f t="shared" si="127"/>
        <v>973.02333333333343</v>
      </c>
      <c r="J405" s="17">
        <v>30</v>
      </c>
      <c r="K405" s="7">
        <f t="shared" si="124"/>
        <v>35.699999999999996</v>
      </c>
      <c r="L405" s="7">
        <f t="shared" si="125"/>
        <v>28</v>
      </c>
      <c r="M405" s="7">
        <f t="shared" si="126"/>
        <v>25.2</v>
      </c>
      <c r="N405" s="7">
        <f t="shared" si="118"/>
        <v>0.84033613445378164</v>
      </c>
      <c r="O405" s="7">
        <f t="shared" si="119"/>
        <v>1.0714285714285714</v>
      </c>
      <c r="P405" s="4">
        <f t="shared" si="120"/>
        <v>1.1904761904761905</v>
      </c>
      <c r="Q405" s="4">
        <f t="shared" si="121"/>
        <v>687.6803361344538</v>
      </c>
      <c r="R405" s="4">
        <f t="shared" si="122"/>
        <v>876.79242857142856</v>
      </c>
      <c r="S405" s="4">
        <f t="shared" si="122"/>
        <v>974.21380952380957</v>
      </c>
    </row>
    <row r="406" spans="1:19" ht="33" hidden="1" customHeight="1" x14ac:dyDescent="0.25">
      <c r="A406" s="5">
        <v>404</v>
      </c>
      <c r="B406" s="5">
        <v>367</v>
      </c>
      <c r="C406" s="6" t="s">
        <v>348</v>
      </c>
      <c r="D406" s="5">
        <v>221</v>
      </c>
      <c r="E406" s="7">
        <v>2.23</v>
      </c>
      <c r="F406" s="7">
        <f t="shared" si="116"/>
        <v>492.83</v>
      </c>
      <c r="G406" s="8">
        <f t="shared" si="123"/>
        <v>492.83</v>
      </c>
      <c r="H406" s="4">
        <f t="shared" si="117"/>
        <v>628.35824999999988</v>
      </c>
      <c r="I406" s="4">
        <f t="shared" si="127"/>
        <v>698.17583333333323</v>
      </c>
      <c r="J406" s="17">
        <v>30</v>
      </c>
      <c r="K406" s="7">
        <f t="shared" si="124"/>
        <v>35.699999999999996</v>
      </c>
      <c r="L406" s="7">
        <f t="shared" si="125"/>
        <v>28</v>
      </c>
      <c r="M406" s="7">
        <f t="shared" si="126"/>
        <v>25.2</v>
      </c>
      <c r="N406" s="7">
        <f t="shared" si="118"/>
        <v>0.84033613445378164</v>
      </c>
      <c r="O406" s="7">
        <f t="shared" si="119"/>
        <v>1.0714285714285714</v>
      </c>
      <c r="P406" s="4">
        <f t="shared" si="120"/>
        <v>1.1904761904761905</v>
      </c>
      <c r="Q406" s="4">
        <f t="shared" si="121"/>
        <v>493.67033613445375</v>
      </c>
      <c r="R406" s="4">
        <f t="shared" si="122"/>
        <v>629.42967857142844</v>
      </c>
      <c r="S406" s="4">
        <f t="shared" si="122"/>
        <v>699.36630952380938</v>
      </c>
    </row>
    <row r="407" spans="1:19" ht="33" hidden="1" customHeight="1" x14ac:dyDescent="0.25">
      <c r="A407" s="5">
        <v>405</v>
      </c>
      <c r="B407" s="5">
        <v>369</v>
      </c>
      <c r="C407" s="6" t="s">
        <v>349</v>
      </c>
      <c r="D407" s="5">
        <v>211</v>
      </c>
      <c r="E407" s="7">
        <v>2.23</v>
      </c>
      <c r="F407" s="7">
        <f t="shared" si="116"/>
        <v>470.53</v>
      </c>
      <c r="G407" s="8">
        <f t="shared" si="123"/>
        <v>470.53</v>
      </c>
      <c r="H407" s="4">
        <f t="shared" si="117"/>
        <v>599.92574999999988</v>
      </c>
      <c r="I407" s="4">
        <f t="shared" si="127"/>
        <v>666.58416666666665</v>
      </c>
      <c r="J407" s="17">
        <v>450</v>
      </c>
      <c r="K407" s="7">
        <f t="shared" si="124"/>
        <v>35.699999999999996</v>
      </c>
      <c r="L407" s="7">
        <f t="shared" si="125"/>
        <v>28</v>
      </c>
      <c r="M407" s="7">
        <f t="shared" si="126"/>
        <v>25.2</v>
      </c>
      <c r="N407" s="7">
        <f t="shared" si="118"/>
        <v>12.605042016806724</v>
      </c>
      <c r="O407" s="7">
        <f t="shared" si="119"/>
        <v>16.071428571428573</v>
      </c>
      <c r="P407" s="4">
        <f t="shared" si="120"/>
        <v>17.857142857142858</v>
      </c>
      <c r="Q407" s="4">
        <f t="shared" si="121"/>
        <v>483.13504201680672</v>
      </c>
      <c r="R407" s="4">
        <f t="shared" si="122"/>
        <v>615.99717857142844</v>
      </c>
      <c r="S407" s="4">
        <f t="shared" si="122"/>
        <v>684.44130952380954</v>
      </c>
    </row>
    <row r="408" spans="1:19" ht="33" hidden="1" customHeight="1" x14ac:dyDescent="0.25">
      <c r="A408" s="5">
        <v>406</v>
      </c>
      <c r="B408" s="5">
        <v>372</v>
      </c>
      <c r="C408" s="6" t="s">
        <v>350</v>
      </c>
      <c r="D408" s="5">
        <v>485</v>
      </c>
      <c r="E408" s="7">
        <v>2.23</v>
      </c>
      <c r="F408" s="7">
        <f t="shared" si="116"/>
        <v>1081.55</v>
      </c>
      <c r="G408" s="8">
        <f t="shared" si="123"/>
        <v>1081.55</v>
      </c>
      <c r="H408" s="4">
        <f t="shared" si="117"/>
        <v>1378.9762499999999</v>
      </c>
      <c r="I408" s="4">
        <f t="shared" si="127"/>
        <v>1532.1958333333332</v>
      </c>
      <c r="J408" s="17">
        <v>4105</v>
      </c>
      <c r="K408" s="7">
        <f t="shared" si="124"/>
        <v>35.699999999999996</v>
      </c>
      <c r="L408" s="7">
        <f t="shared" si="125"/>
        <v>28</v>
      </c>
      <c r="M408" s="7">
        <f t="shared" si="126"/>
        <v>25.2</v>
      </c>
      <c r="N408" s="7">
        <f t="shared" si="118"/>
        <v>114.98599439775911</v>
      </c>
      <c r="O408" s="7">
        <f t="shared" si="119"/>
        <v>146.60714285714286</v>
      </c>
      <c r="P408" s="4">
        <f t="shared" si="120"/>
        <v>162.89682539682539</v>
      </c>
      <c r="Q408" s="4">
        <f t="shared" si="121"/>
        <v>1196.5359943977592</v>
      </c>
      <c r="R408" s="4">
        <f t="shared" si="122"/>
        <v>1525.5833928571428</v>
      </c>
      <c r="S408" s="4">
        <f t="shared" si="122"/>
        <v>1695.0926587301585</v>
      </c>
    </row>
    <row r="409" spans="1:19" ht="33" hidden="1" customHeight="1" x14ac:dyDescent="0.25">
      <c r="A409" s="5">
        <v>407</v>
      </c>
      <c r="B409" s="5">
        <v>373</v>
      </c>
      <c r="C409" s="6" t="s">
        <v>351</v>
      </c>
      <c r="D409" s="5">
        <v>403</v>
      </c>
      <c r="E409" s="7">
        <v>2.23</v>
      </c>
      <c r="F409" s="7">
        <f t="shared" si="116"/>
        <v>898.68999999999994</v>
      </c>
      <c r="G409" s="8">
        <f t="shared" si="123"/>
        <v>898.68999999999994</v>
      </c>
      <c r="H409" s="4">
        <f t="shared" si="117"/>
        <v>1145.8297499999999</v>
      </c>
      <c r="I409" s="4">
        <f t="shared" si="127"/>
        <v>1273.1441666666665</v>
      </c>
      <c r="J409" s="17">
        <v>1520</v>
      </c>
      <c r="K409" s="7">
        <f t="shared" si="124"/>
        <v>35.699999999999996</v>
      </c>
      <c r="L409" s="7">
        <f t="shared" si="125"/>
        <v>28</v>
      </c>
      <c r="M409" s="7">
        <f t="shared" si="126"/>
        <v>25.2</v>
      </c>
      <c r="N409" s="7">
        <f t="shared" si="118"/>
        <v>42.577030812324935</v>
      </c>
      <c r="O409" s="7">
        <f t="shared" si="119"/>
        <v>54.285714285714285</v>
      </c>
      <c r="P409" s="4">
        <f t="shared" si="120"/>
        <v>60.317460317460316</v>
      </c>
      <c r="Q409" s="4">
        <f t="shared" si="121"/>
        <v>941.26703081232483</v>
      </c>
      <c r="R409" s="4">
        <f t="shared" si="122"/>
        <v>1200.1154642857141</v>
      </c>
      <c r="S409" s="4">
        <f t="shared" si="122"/>
        <v>1333.4616269841267</v>
      </c>
    </row>
    <row r="410" spans="1:19" ht="33" hidden="1" customHeight="1" x14ac:dyDescent="0.25">
      <c r="A410" s="5">
        <v>408</v>
      </c>
      <c r="B410" s="5">
        <v>375</v>
      </c>
      <c r="C410" s="6" t="s">
        <v>352</v>
      </c>
      <c r="D410" s="5">
        <v>232</v>
      </c>
      <c r="E410" s="7">
        <v>2.23</v>
      </c>
      <c r="F410" s="7">
        <f t="shared" si="116"/>
        <v>517.36</v>
      </c>
      <c r="G410" s="8">
        <f t="shared" si="123"/>
        <v>517.36</v>
      </c>
      <c r="H410" s="4">
        <f t="shared" si="117"/>
        <v>659.63400000000001</v>
      </c>
      <c r="I410" s="4">
        <f t="shared" si="127"/>
        <v>732.92666666666673</v>
      </c>
      <c r="J410" s="17">
        <v>0</v>
      </c>
      <c r="K410" s="7">
        <f t="shared" si="124"/>
        <v>35.699999999999996</v>
      </c>
      <c r="L410" s="7">
        <f t="shared" si="125"/>
        <v>28</v>
      </c>
      <c r="M410" s="7">
        <f t="shared" si="126"/>
        <v>25.2</v>
      </c>
      <c r="N410" s="7">
        <f t="shared" si="118"/>
        <v>0</v>
      </c>
      <c r="O410" s="7">
        <f t="shared" si="119"/>
        <v>0</v>
      </c>
      <c r="P410" s="4">
        <f t="shared" si="120"/>
        <v>0</v>
      </c>
      <c r="Q410" s="4">
        <f t="shared" si="121"/>
        <v>517.36</v>
      </c>
      <c r="R410" s="4">
        <f t="shared" si="122"/>
        <v>659.63400000000001</v>
      </c>
      <c r="S410" s="4">
        <f t="shared" si="122"/>
        <v>732.92666666666673</v>
      </c>
    </row>
    <row r="411" spans="1:19" ht="33" hidden="1" customHeight="1" x14ac:dyDescent="0.25">
      <c r="A411" s="5">
        <v>409</v>
      </c>
      <c r="B411" s="5">
        <v>376</v>
      </c>
      <c r="C411" s="6" t="s">
        <v>353</v>
      </c>
      <c r="D411" s="5">
        <v>232</v>
      </c>
      <c r="E411" s="7">
        <v>2.23</v>
      </c>
      <c r="F411" s="7">
        <f t="shared" si="116"/>
        <v>517.36</v>
      </c>
      <c r="G411" s="8">
        <f t="shared" si="123"/>
        <v>517.36</v>
      </c>
      <c r="H411" s="4">
        <f t="shared" si="117"/>
        <v>659.63400000000001</v>
      </c>
      <c r="I411" s="4">
        <f t="shared" si="127"/>
        <v>732.92666666666673</v>
      </c>
      <c r="J411" s="17">
        <v>30</v>
      </c>
      <c r="K411" s="7">
        <f t="shared" si="124"/>
        <v>35.699999999999996</v>
      </c>
      <c r="L411" s="7">
        <f t="shared" si="125"/>
        <v>28</v>
      </c>
      <c r="M411" s="7">
        <f t="shared" si="126"/>
        <v>25.2</v>
      </c>
      <c r="N411" s="7">
        <f t="shared" si="118"/>
        <v>0.84033613445378164</v>
      </c>
      <c r="O411" s="7">
        <f t="shared" si="119"/>
        <v>1.0714285714285714</v>
      </c>
      <c r="P411" s="4">
        <f t="shared" si="120"/>
        <v>1.1904761904761905</v>
      </c>
      <c r="Q411" s="4">
        <f t="shared" si="121"/>
        <v>518.20033613445378</v>
      </c>
      <c r="R411" s="4">
        <f t="shared" si="122"/>
        <v>660.70542857142857</v>
      </c>
      <c r="S411" s="4">
        <f t="shared" si="122"/>
        <v>734.11714285714288</v>
      </c>
    </row>
    <row r="412" spans="1:19" ht="33" hidden="1" customHeight="1" x14ac:dyDescent="0.25">
      <c r="A412" s="5">
        <v>410</v>
      </c>
      <c r="B412" s="5">
        <v>381</v>
      </c>
      <c r="C412" s="6" t="s">
        <v>474</v>
      </c>
      <c r="D412" s="5">
        <v>593</v>
      </c>
      <c r="E412" s="7">
        <v>2.23</v>
      </c>
      <c r="F412" s="7">
        <f t="shared" si="116"/>
        <v>1322.39</v>
      </c>
      <c r="G412" s="8">
        <f t="shared" si="123"/>
        <v>1322.39</v>
      </c>
      <c r="H412" s="4">
        <f t="shared" si="117"/>
        <v>1686.0472500000001</v>
      </c>
      <c r="I412" s="4">
        <f t="shared" si="127"/>
        <v>1873.3858333333333</v>
      </c>
      <c r="J412" s="17">
        <v>1400</v>
      </c>
      <c r="K412" s="7">
        <f t="shared" si="124"/>
        <v>35.699999999999996</v>
      </c>
      <c r="L412" s="7">
        <f t="shared" si="125"/>
        <v>28</v>
      </c>
      <c r="M412" s="7">
        <f t="shared" si="126"/>
        <v>25.2</v>
      </c>
      <c r="N412" s="7">
        <f t="shared" si="118"/>
        <v>39.215686274509807</v>
      </c>
      <c r="O412" s="7">
        <f t="shared" si="119"/>
        <v>50</v>
      </c>
      <c r="P412" s="4">
        <f t="shared" si="120"/>
        <v>55.555555555555557</v>
      </c>
      <c r="Q412" s="4">
        <f t="shared" si="121"/>
        <v>1361.6056862745099</v>
      </c>
      <c r="R412" s="4">
        <f t="shared" si="122"/>
        <v>1736.0472500000001</v>
      </c>
      <c r="S412" s="4">
        <f t="shared" si="122"/>
        <v>1928.9413888888889</v>
      </c>
    </row>
    <row r="413" spans="1:19" ht="33" hidden="1" customHeight="1" x14ac:dyDescent="0.25">
      <c r="A413" s="5">
        <v>411</v>
      </c>
      <c r="B413" s="5">
        <v>384</v>
      </c>
      <c r="C413" s="6" t="s">
        <v>475</v>
      </c>
      <c r="D413" s="5">
        <v>544</v>
      </c>
      <c r="E413" s="7">
        <v>2.23</v>
      </c>
      <c r="F413" s="7">
        <f t="shared" si="116"/>
        <v>1213.1199999999999</v>
      </c>
      <c r="G413" s="8">
        <f t="shared" si="123"/>
        <v>1213.1199999999999</v>
      </c>
      <c r="H413" s="4">
        <f t="shared" si="117"/>
        <v>1546.7279999999998</v>
      </c>
      <c r="I413" s="4">
        <f t="shared" si="127"/>
        <v>1718.5866666666666</v>
      </c>
      <c r="J413" s="17">
        <v>90</v>
      </c>
      <c r="K413" s="7">
        <f t="shared" si="124"/>
        <v>35.699999999999996</v>
      </c>
      <c r="L413" s="7">
        <f t="shared" si="125"/>
        <v>28</v>
      </c>
      <c r="M413" s="7">
        <f t="shared" si="126"/>
        <v>25.2</v>
      </c>
      <c r="N413" s="7">
        <f t="shared" si="118"/>
        <v>2.5210084033613449</v>
      </c>
      <c r="O413" s="7">
        <f t="shared" si="119"/>
        <v>3.2142857142857144</v>
      </c>
      <c r="P413" s="4">
        <f t="shared" si="120"/>
        <v>3.5714285714285716</v>
      </c>
      <c r="Q413" s="4">
        <f t="shared" si="121"/>
        <v>1215.6410084033612</v>
      </c>
      <c r="R413" s="4">
        <f t="shared" si="122"/>
        <v>1549.9422857142856</v>
      </c>
      <c r="S413" s="4">
        <f t="shared" si="122"/>
        <v>1722.1580952380953</v>
      </c>
    </row>
    <row r="414" spans="1:19" ht="33" hidden="1" customHeight="1" x14ac:dyDescent="0.25">
      <c r="A414" s="5">
        <v>412</v>
      </c>
      <c r="B414" s="5">
        <v>390</v>
      </c>
      <c r="C414" s="6" t="s">
        <v>354</v>
      </c>
      <c r="D414" s="5">
        <v>490</v>
      </c>
      <c r="E414" s="7">
        <v>2.23</v>
      </c>
      <c r="F414" s="7">
        <f t="shared" si="116"/>
        <v>1092.7</v>
      </c>
      <c r="G414" s="8">
        <f t="shared" si="123"/>
        <v>1092.7</v>
      </c>
      <c r="H414" s="4">
        <f t="shared" si="117"/>
        <v>1393.1924999999999</v>
      </c>
      <c r="I414" s="4">
        <f t="shared" si="127"/>
        <v>1547.9916666666668</v>
      </c>
      <c r="J414" s="17">
        <v>1450</v>
      </c>
      <c r="K414" s="7">
        <f t="shared" si="124"/>
        <v>35.699999999999996</v>
      </c>
      <c r="L414" s="7">
        <f t="shared" si="125"/>
        <v>28</v>
      </c>
      <c r="M414" s="7">
        <f t="shared" si="126"/>
        <v>25.2</v>
      </c>
      <c r="N414" s="7">
        <f t="shared" si="118"/>
        <v>40.616246498599445</v>
      </c>
      <c r="O414" s="7">
        <f t="shared" si="119"/>
        <v>51.785714285714285</v>
      </c>
      <c r="P414" s="4">
        <f t="shared" si="120"/>
        <v>57.539682539682538</v>
      </c>
      <c r="Q414" s="4">
        <f t="shared" si="121"/>
        <v>1133.3162464985994</v>
      </c>
      <c r="R414" s="4">
        <f t="shared" si="122"/>
        <v>1444.9782142857141</v>
      </c>
      <c r="S414" s="4">
        <f t="shared" si="122"/>
        <v>1605.5313492063494</v>
      </c>
    </row>
    <row r="415" spans="1:19" ht="33" hidden="1" customHeight="1" x14ac:dyDescent="0.25">
      <c r="A415" s="5">
        <v>413</v>
      </c>
      <c r="B415" s="5">
        <v>391</v>
      </c>
      <c r="C415" s="6" t="s">
        <v>476</v>
      </c>
      <c r="D415" s="5">
        <v>624</v>
      </c>
      <c r="E415" s="7">
        <v>2.23</v>
      </c>
      <c r="F415" s="7">
        <f t="shared" si="116"/>
        <v>1391.52</v>
      </c>
      <c r="G415" s="8">
        <f t="shared" si="123"/>
        <v>1391.52</v>
      </c>
      <c r="H415" s="4">
        <f t="shared" si="117"/>
        <v>1774.1879999999999</v>
      </c>
      <c r="I415" s="4">
        <f t="shared" si="127"/>
        <v>1971.3200000000002</v>
      </c>
      <c r="J415" s="17">
        <v>1575</v>
      </c>
      <c r="K415" s="7">
        <f t="shared" si="124"/>
        <v>35.699999999999996</v>
      </c>
      <c r="L415" s="7">
        <f t="shared" si="125"/>
        <v>28</v>
      </c>
      <c r="M415" s="7">
        <f t="shared" si="126"/>
        <v>25.2</v>
      </c>
      <c r="N415" s="7">
        <f t="shared" si="118"/>
        <v>44.117647058823536</v>
      </c>
      <c r="O415" s="7">
        <f t="shared" si="119"/>
        <v>56.25</v>
      </c>
      <c r="P415" s="4">
        <f t="shared" si="120"/>
        <v>62.5</v>
      </c>
      <c r="Q415" s="4">
        <f t="shared" si="121"/>
        <v>1435.6376470588234</v>
      </c>
      <c r="R415" s="4">
        <f t="shared" si="122"/>
        <v>1830.4379999999999</v>
      </c>
      <c r="S415" s="4">
        <f t="shared" si="122"/>
        <v>2033.8200000000002</v>
      </c>
    </row>
    <row r="416" spans="1:19" ht="33" hidden="1" customHeight="1" x14ac:dyDescent="0.25">
      <c r="A416" s="5">
        <v>414</v>
      </c>
      <c r="B416" s="5">
        <v>392</v>
      </c>
      <c r="C416" s="6" t="s">
        <v>516</v>
      </c>
      <c r="D416" s="5">
        <v>544</v>
      </c>
      <c r="E416" s="7">
        <v>2.23</v>
      </c>
      <c r="F416" s="7">
        <f t="shared" si="116"/>
        <v>1213.1199999999999</v>
      </c>
      <c r="G416" s="8">
        <f t="shared" si="123"/>
        <v>1213.1199999999999</v>
      </c>
      <c r="H416" s="4">
        <f t="shared" si="117"/>
        <v>1546.7279999999998</v>
      </c>
      <c r="I416" s="4">
        <f t="shared" si="127"/>
        <v>1718.5866666666666</v>
      </c>
      <c r="J416" s="17">
        <v>1450</v>
      </c>
      <c r="K416" s="7">
        <f t="shared" si="124"/>
        <v>35.699999999999996</v>
      </c>
      <c r="L416" s="7">
        <f t="shared" si="125"/>
        <v>28</v>
      </c>
      <c r="M416" s="7">
        <f t="shared" si="126"/>
        <v>25.2</v>
      </c>
      <c r="N416" s="7">
        <f t="shared" si="118"/>
        <v>40.616246498599445</v>
      </c>
      <c r="O416" s="7">
        <f t="shared" si="119"/>
        <v>51.785714285714285</v>
      </c>
      <c r="P416" s="4">
        <f t="shared" si="120"/>
        <v>57.539682539682538</v>
      </c>
      <c r="Q416" s="4">
        <f t="shared" si="121"/>
        <v>1253.7362464985993</v>
      </c>
      <c r="R416" s="4">
        <f t="shared" si="122"/>
        <v>1598.5137142857141</v>
      </c>
      <c r="S416" s="4">
        <f t="shared" si="122"/>
        <v>1776.1263492063492</v>
      </c>
    </row>
    <row r="417" spans="1:19" ht="33" hidden="1" customHeight="1" x14ac:dyDescent="0.25">
      <c r="A417" s="5">
        <v>415</v>
      </c>
      <c r="B417" s="5">
        <v>393</v>
      </c>
      <c r="C417" s="6" t="s">
        <v>477</v>
      </c>
      <c r="D417" s="5">
        <v>565</v>
      </c>
      <c r="E417" s="7">
        <v>2.23</v>
      </c>
      <c r="F417" s="7">
        <f t="shared" si="116"/>
        <v>1259.95</v>
      </c>
      <c r="G417" s="8">
        <f t="shared" si="123"/>
        <v>1259.95</v>
      </c>
      <c r="H417" s="4">
        <f t="shared" si="117"/>
        <v>1606.43625</v>
      </c>
      <c r="I417" s="4">
        <f t="shared" si="127"/>
        <v>1784.9291666666668</v>
      </c>
      <c r="J417" s="17">
        <v>1425</v>
      </c>
      <c r="K417" s="7">
        <f t="shared" si="124"/>
        <v>35.699999999999996</v>
      </c>
      <c r="L417" s="7">
        <f t="shared" si="125"/>
        <v>28</v>
      </c>
      <c r="M417" s="7">
        <f t="shared" si="126"/>
        <v>25.2</v>
      </c>
      <c r="N417" s="7">
        <f t="shared" si="118"/>
        <v>39.915966386554629</v>
      </c>
      <c r="O417" s="7">
        <f t="shared" si="119"/>
        <v>50.892857142857146</v>
      </c>
      <c r="P417" s="4">
        <f t="shared" si="120"/>
        <v>56.547619047619051</v>
      </c>
      <c r="Q417" s="4">
        <f t="shared" si="121"/>
        <v>1299.8659663865546</v>
      </c>
      <c r="R417" s="4">
        <f t="shared" si="122"/>
        <v>1657.3291071428571</v>
      </c>
      <c r="S417" s="4">
        <f t="shared" si="122"/>
        <v>1841.4767857142858</v>
      </c>
    </row>
    <row r="418" spans="1:19" ht="33" hidden="1" customHeight="1" x14ac:dyDescent="0.25">
      <c r="A418" s="5">
        <v>416</v>
      </c>
      <c r="B418" s="5">
        <v>394</v>
      </c>
      <c r="C418" s="6" t="s">
        <v>478</v>
      </c>
      <c r="D418" s="5">
        <v>575</v>
      </c>
      <c r="E418" s="7">
        <v>2.23</v>
      </c>
      <c r="F418" s="7">
        <f t="shared" ref="F418:F467" si="128">D418*E418</f>
        <v>1282.25</v>
      </c>
      <c r="G418" s="8">
        <f t="shared" si="123"/>
        <v>1282.25</v>
      </c>
      <c r="H418" s="4">
        <f t="shared" ref="H418:H467" si="129">F418*(51/40)</f>
        <v>1634.8687499999999</v>
      </c>
      <c r="I418" s="4">
        <f t="shared" si="127"/>
        <v>1816.5208333333333</v>
      </c>
      <c r="J418" s="17">
        <v>1980</v>
      </c>
      <c r="K418" s="7">
        <f t="shared" si="124"/>
        <v>35.699999999999996</v>
      </c>
      <c r="L418" s="7">
        <f t="shared" si="125"/>
        <v>28</v>
      </c>
      <c r="M418" s="7">
        <f t="shared" si="126"/>
        <v>25.2</v>
      </c>
      <c r="N418" s="7">
        <f t="shared" ref="N418:N467" si="130">J418/K418</f>
        <v>55.462184873949589</v>
      </c>
      <c r="O418" s="7">
        <f t="shared" ref="O418:O467" si="131">J418/L418</f>
        <v>70.714285714285708</v>
      </c>
      <c r="P418" s="4">
        <f t="shared" ref="P418:P467" si="132">J418/M418</f>
        <v>78.571428571428569</v>
      </c>
      <c r="Q418" s="4">
        <f t="shared" ref="Q418:Q467" si="133">F418+N418</f>
        <v>1337.7121848739496</v>
      </c>
      <c r="R418" s="4">
        <f t="shared" ref="R418:S467" si="134">H418+O418</f>
        <v>1705.5830357142856</v>
      </c>
      <c r="S418" s="4">
        <f t="shared" si="134"/>
        <v>1895.0922619047619</v>
      </c>
    </row>
    <row r="419" spans="1:19" ht="33" hidden="1" customHeight="1" x14ac:dyDescent="0.25">
      <c r="A419" s="5">
        <v>417</v>
      </c>
      <c r="B419" s="5">
        <v>395</v>
      </c>
      <c r="C419" s="6" t="s">
        <v>479</v>
      </c>
      <c r="D419" s="5">
        <v>665</v>
      </c>
      <c r="E419" s="7">
        <v>2.23</v>
      </c>
      <c r="F419" s="7">
        <f t="shared" si="128"/>
        <v>1482.95</v>
      </c>
      <c r="G419" s="8">
        <f t="shared" si="123"/>
        <v>1482.95</v>
      </c>
      <c r="H419" s="4">
        <f t="shared" si="129"/>
        <v>1890.76125</v>
      </c>
      <c r="I419" s="4">
        <f t="shared" si="127"/>
        <v>2100.8458333333333</v>
      </c>
      <c r="J419" s="17">
        <v>3215</v>
      </c>
      <c r="K419" s="7">
        <f t="shared" si="124"/>
        <v>35.699999999999996</v>
      </c>
      <c r="L419" s="7">
        <f t="shared" si="125"/>
        <v>28</v>
      </c>
      <c r="M419" s="7">
        <f t="shared" si="126"/>
        <v>25.2</v>
      </c>
      <c r="N419" s="7">
        <f t="shared" si="130"/>
        <v>90.056022408963599</v>
      </c>
      <c r="O419" s="7">
        <f t="shared" si="131"/>
        <v>114.82142857142857</v>
      </c>
      <c r="P419" s="4">
        <f t="shared" si="132"/>
        <v>127.57936507936509</v>
      </c>
      <c r="Q419" s="4">
        <f t="shared" si="133"/>
        <v>1573.0060224089636</v>
      </c>
      <c r="R419" s="4">
        <f t="shared" si="134"/>
        <v>2005.5826785714287</v>
      </c>
      <c r="S419" s="4">
        <f t="shared" si="134"/>
        <v>2228.4251984126986</v>
      </c>
    </row>
    <row r="420" spans="1:19" ht="33" hidden="1" customHeight="1" x14ac:dyDescent="0.25">
      <c r="A420" s="5">
        <v>418</v>
      </c>
      <c r="B420" s="5">
        <v>396</v>
      </c>
      <c r="C420" s="6" t="s">
        <v>355</v>
      </c>
      <c r="D420" s="5">
        <v>645</v>
      </c>
      <c r="E420" s="7">
        <v>2.23</v>
      </c>
      <c r="F420" s="7">
        <f t="shared" si="128"/>
        <v>1438.35</v>
      </c>
      <c r="G420" s="8">
        <f t="shared" ref="G420:G467" si="135">F420*(51/51)</f>
        <v>1438.35</v>
      </c>
      <c r="H420" s="4">
        <f t="shared" si="129"/>
        <v>1833.8962499999998</v>
      </c>
      <c r="I420" s="4">
        <f t="shared" si="127"/>
        <v>2037.6624999999997</v>
      </c>
      <c r="J420" s="17">
        <v>3215</v>
      </c>
      <c r="K420" s="7">
        <f t="shared" ref="K420:K467" si="136">51*0.7</f>
        <v>35.699999999999996</v>
      </c>
      <c r="L420" s="7">
        <f t="shared" ref="L420:L467" si="137">40*0.7</f>
        <v>28</v>
      </c>
      <c r="M420" s="7">
        <f t="shared" ref="M420:M467" si="138">36*0.7</f>
        <v>25.2</v>
      </c>
      <c r="N420" s="7">
        <f t="shared" si="130"/>
        <v>90.056022408963599</v>
      </c>
      <c r="O420" s="7">
        <f t="shared" si="131"/>
        <v>114.82142857142857</v>
      </c>
      <c r="P420" s="4">
        <f t="shared" si="132"/>
        <v>127.57936507936509</v>
      </c>
      <c r="Q420" s="4">
        <f t="shared" si="133"/>
        <v>1528.4060224089635</v>
      </c>
      <c r="R420" s="4">
        <f t="shared" si="134"/>
        <v>1948.7176785714285</v>
      </c>
      <c r="S420" s="4">
        <f t="shared" si="134"/>
        <v>2165.2418650793647</v>
      </c>
    </row>
    <row r="421" spans="1:19" ht="33" hidden="1" customHeight="1" x14ac:dyDescent="0.25">
      <c r="A421" s="5">
        <v>419</v>
      </c>
      <c r="B421" s="5">
        <v>397</v>
      </c>
      <c r="C421" s="6" t="s">
        <v>480</v>
      </c>
      <c r="D421" s="5">
        <v>476</v>
      </c>
      <c r="E421" s="7">
        <v>2.23</v>
      </c>
      <c r="F421" s="7">
        <f t="shared" si="128"/>
        <v>1061.48</v>
      </c>
      <c r="G421" s="8">
        <f t="shared" si="135"/>
        <v>1061.48</v>
      </c>
      <c r="H421" s="4">
        <f t="shared" si="129"/>
        <v>1353.3869999999999</v>
      </c>
      <c r="I421" s="4">
        <f t="shared" si="127"/>
        <v>1503.7633333333333</v>
      </c>
      <c r="J421" s="17">
        <v>1450</v>
      </c>
      <c r="K421" s="7">
        <f t="shared" si="136"/>
        <v>35.699999999999996</v>
      </c>
      <c r="L421" s="7">
        <f t="shared" si="137"/>
        <v>28</v>
      </c>
      <c r="M421" s="7">
        <f t="shared" si="138"/>
        <v>25.2</v>
      </c>
      <c r="N421" s="7">
        <f t="shared" si="130"/>
        <v>40.616246498599445</v>
      </c>
      <c r="O421" s="7">
        <f t="shared" si="131"/>
        <v>51.785714285714285</v>
      </c>
      <c r="P421" s="4">
        <f t="shared" si="132"/>
        <v>57.539682539682538</v>
      </c>
      <c r="Q421" s="4">
        <f t="shared" si="133"/>
        <v>1102.0962464985994</v>
      </c>
      <c r="R421" s="4">
        <f t="shared" si="134"/>
        <v>1405.1727142857142</v>
      </c>
      <c r="S421" s="4">
        <f t="shared" si="134"/>
        <v>1561.303015873016</v>
      </c>
    </row>
    <row r="422" spans="1:19" ht="33" hidden="1" customHeight="1" x14ac:dyDescent="0.25">
      <c r="A422" s="5">
        <v>420</v>
      </c>
      <c r="B422" s="5">
        <v>398</v>
      </c>
      <c r="C422" s="6" t="s">
        <v>481</v>
      </c>
      <c r="D422" s="5">
        <v>540</v>
      </c>
      <c r="E422" s="7">
        <v>2.23</v>
      </c>
      <c r="F422" s="7">
        <f t="shared" si="128"/>
        <v>1204.2</v>
      </c>
      <c r="G422" s="8">
        <f t="shared" si="135"/>
        <v>1204.2</v>
      </c>
      <c r="H422" s="4">
        <f t="shared" si="129"/>
        <v>1535.355</v>
      </c>
      <c r="I422" s="4">
        <f t="shared" si="127"/>
        <v>1705.95</v>
      </c>
      <c r="J422" s="17">
        <v>1500</v>
      </c>
      <c r="K422" s="7">
        <f t="shared" si="136"/>
        <v>35.699999999999996</v>
      </c>
      <c r="L422" s="7">
        <f t="shared" si="137"/>
        <v>28</v>
      </c>
      <c r="M422" s="7">
        <f t="shared" si="138"/>
        <v>25.2</v>
      </c>
      <c r="N422" s="7">
        <f t="shared" si="130"/>
        <v>42.016806722689083</v>
      </c>
      <c r="O422" s="7">
        <f t="shared" si="131"/>
        <v>53.571428571428569</v>
      </c>
      <c r="P422" s="4">
        <f t="shared" si="132"/>
        <v>59.523809523809526</v>
      </c>
      <c r="Q422" s="4">
        <f t="shared" si="133"/>
        <v>1246.2168067226892</v>
      </c>
      <c r="R422" s="4">
        <f t="shared" si="134"/>
        <v>1588.9264285714287</v>
      </c>
      <c r="S422" s="4">
        <f t="shared" si="134"/>
        <v>1765.4738095238097</v>
      </c>
    </row>
    <row r="423" spans="1:19" ht="33" hidden="1" customHeight="1" x14ac:dyDescent="0.25">
      <c r="A423" s="5">
        <v>421</v>
      </c>
      <c r="B423" s="5">
        <v>399</v>
      </c>
      <c r="C423" s="6" t="s">
        <v>482</v>
      </c>
      <c r="D423" s="5">
        <v>625</v>
      </c>
      <c r="E423" s="7">
        <v>2.23</v>
      </c>
      <c r="F423" s="7">
        <f t="shared" si="128"/>
        <v>1393.75</v>
      </c>
      <c r="G423" s="8">
        <f t="shared" si="135"/>
        <v>1393.75</v>
      </c>
      <c r="H423" s="4">
        <f t="shared" si="129"/>
        <v>1777.0312499999998</v>
      </c>
      <c r="I423" s="4">
        <f t="shared" si="127"/>
        <v>1974.4791666666667</v>
      </c>
      <c r="J423" s="17">
        <v>1450</v>
      </c>
      <c r="K423" s="7">
        <f t="shared" si="136"/>
        <v>35.699999999999996</v>
      </c>
      <c r="L423" s="7">
        <f t="shared" si="137"/>
        <v>28</v>
      </c>
      <c r="M423" s="7">
        <f t="shared" si="138"/>
        <v>25.2</v>
      </c>
      <c r="N423" s="7">
        <f t="shared" si="130"/>
        <v>40.616246498599445</v>
      </c>
      <c r="O423" s="7">
        <f t="shared" si="131"/>
        <v>51.785714285714285</v>
      </c>
      <c r="P423" s="4">
        <f t="shared" si="132"/>
        <v>57.539682539682538</v>
      </c>
      <c r="Q423" s="4">
        <f t="shared" si="133"/>
        <v>1434.3662464985994</v>
      </c>
      <c r="R423" s="4">
        <f t="shared" si="134"/>
        <v>1828.816964285714</v>
      </c>
      <c r="S423" s="4">
        <f t="shared" si="134"/>
        <v>2032.0188492063494</v>
      </c>
    </row>
    <row r="424" spans="1:19" ht="33" hidden="1" customHeight="1" x14ac:dyDescent="0.25">
      <c r="A424" s="5">
        <v>422</v>
      </c>
      <c r="B424" s="5">
        <v>400</v>
      </c>
      <c r="C424" s="6" t="s">
        <v>483</v>
      </c>
      <c r="D424" s="5">
        <v>684</v>
      </c>
      <c r="E424" s="7">
        <v>2.23</v>
      </c>
      <c r="F424" s="7">
        <f t="shared" si="128"/>
        <v>1525.32</v>
      </c>
      <c r="G424" s="8">
        <f t="shared" si="135"/>
        <v>1525.32</v>
      </c>
      <c r="H424" s="4">
        <f t="shared" si="129"/>
        <v>1944.7829999999997</v>
      </c>
      <c r="I424" s="4">
        <f t="shared" si="127"/>
        <v>2160.87</v>
      </c>
      <c r="J424" s="17">
        <v>1450</v>
      </c>
      <c r="K424" s="7">
        <f t="shared" si="136"/>
        <v>35.699999999999996</v>
      </c>
      <c r="L424" s="7">
        <f t="shared" si="137"/>
        <v>28</v>
      </c>
      <c r="M424" s="7">
        <f t="shared" si="138"/>
        <v>25.2</v>
      </c>
      <c r="N424" s="7">
        <f t="shared" si="130"/>
        <v>40.616246498599445</v>
      </c>
      <c r="O424" s="7">
        <f t="shared" si="131"/>
        <v>51.785714285714285</v>
      </c>
      <c r="P424" s="4">
        <f t="shared" si="132"/>
        <v>57.539682539682538</v>
      </c>
      <c r="Q424" s="4">
        <f t="shared" si="133"/>
        <v>1565.9362464985993</v>
      </c>
      <c r="R424" s="4">
        <f t="shared" si="134"/>
        <v>1996.5687142857139</v>
      </c>
      <c r="S424" s="4">
        <f t="shared" si="134"/>
        <v>2218.4096825396823</v>
      </c>
    </row>
    <row r="425" spans="1:19" ht="33" hidden="1" customHeight="1" x14ac:dyDescent="0.25">
      <c r="A425" s="5">
        <v>423</v>
      </c>
      <c r="B425" s="5">
        <v>401</v>
      </c>
      <c r="C425" s="6" t="s">
        <v>356</v>
      </c>
      <c r="D425" s="5">
        <v>720</v>
      </c>
      <c r="E425" s="7">
        <v>2.23</v>
      </c>
      <c r="F425" s="7">
        <f t="shared" si="128"/>
        <v>1605.6</v>
      </c>
      <c r="G425" s="8">
        <f t="shared" si="135"/>
        <v>1605.6</v>
      </c>
      <c r="H425" s="4">
        <f t="shared" si="129"/>
        <v>2047.1399999999996</v>
      </c>
      <c r="I425" s="4">
        <f t="shared" si="127"/>
        <v>2274.6</v>
      </c>
      <c r="J425" s="17">
        <v>3215</v>
      </c>
      <c r="K425" s="7">
        <f t="shared" si="136"/>
        <v>35.699999999999996</v>
      </c>
      <c r="L425" s="7">
        <f t="shared" si="137"/>
        <v>28</v>
      </c>
      <c r="M425" s="7">
        <f t="shared" si="138"/>
        <v>25.2</v>
      </c>
      <c r="N425" s="7">
        <f t="shared" si="130"/>
        <v>90.056022408963599</v>
      </c>
      <c r="O425" s="7">
        <f t="shared" si="131"/>
        <v>114.82142857142857</v>
      </c>
      <c r="P425" s="4">
        <f t="shared" si="132"/>
        <v>127.57936507936509</v>
      </c>
      <c r="Q425" s="4">
        <f t="shared" si="133"/>
        <v>1695.6560224089635</v>
      </c>
      <c r="R425" s="4">
        <f t="shared" si="134"/>
        <v>2161.9614285714283</v>
      </c>
      <c r="S425" s="4">
        <f t="shared" si="134"/>
        <v>2402.1793650793652</v>
      </c>
    </row>
    <row r="426" spans="1:19" ht="33" hidden="1" customHeight="1" x14ac:dyDescent="0.25">
      <c r="A426" s="5">
        <v>424</v>
      </c>
      <c r="B426" s="5">
        <v>402</v>
      </c>
      <c r="C426" s="6" t="s">
        <v>484</v>
      </c>
      <c r="D426" s="5">
        <v>452</v>
      </c>
      <c r="E426" s="7">
        <v>2.23</v>
      </c>
      <c r="F426" s="7">
        <f t="shared" si="128"/>
        <v>1007.96</v>
      </c>
      <c r="G426" s="8">
        <f t="shared" si="135"/>
        <v>1007.96</v>
      </c>
      <c r="H426" s="4">
        <f t="shared" si="129"/>
        <v>1285.1489999999999</v>
      </c>
      <c r="I426" s="4">
        <f t="shared" si="127"/>
        <v>1427.9433333333334</v>
      </c>
      <c r="J426" s="17">
        <v>1500</v>
      </c>
      <c r="K426" s="7">
        <f t="shared" si="136"/>
        <v>35.699999999999996</v>
      </c>
      <c r="L426" s="7">
        <f t="shared" si="137"/>
        <v>28</v>
      </c>
      <c r="M426" s="7">
        <f t="shared" si="138"/>
        <v>25.2</v>
      </c>
      <c r="N426" s="7">
        <f t="shared" si="130"/>
        <v>42.016806722689083</v>
      </c>
      <c r="O426" s="7">
        <f t="shared" si="131"/>
        <v>53.571428571428569</v>
      </c>
      <c r="P426" s="4">
        <f t="shared" si="132"/>
        <v>59.523809523809526</v>
      </c>
      <c r="Q426" s="4">
        <f t="shared" si="133"/>
        <v>1049.9768067226892</v>
      </c>
      <c r="R426" s="4">
        <f t="shared" si="134"/>
        <v>1338.7204285714286</v>
      </c>
      <c r="S426" s="4">
        <f t="shared" si="134"/>
        <v>1487.467142857143</v>
      </c>
    </row>
    <row r="427" spans="1:19" ht="33" hidden="1" customHeight="1" x14ac:dyDescent="0.25">
      <c r="A427" s="5">
        <v>425</v>
      </c>
      <c r="B427" s="5">
        <v>403</v>
      </c>
      <c r="C427" s="6" t="s">
        <v>357</v>
      </c>
      <c r="D427" s="5">
        <v>517</v>
      </c>
      <c r="E427" s="7">
        <v>2.23</v>
      </c>
      <c r="F427" s="7">
        <f t="shared" si="128"/>
        <v>1152.9100000000001</v>
      </c>
      <c r="G427" s="8">
        <f t="shared" si="135"/>
        <v>1152.9100000000001</v>
      </c>
      <c r="H427" s="4">
        <f t="shared" si="129"/>
        <v>1469.9602500000001</v>
      </c>
      <c r="I427" s="4">
        <f t="shared" si="127"/>
        <v>1633.2891666666667</v>
      </c>
      <c r="J427" s="17">
        <v>3060</v>
      </c>
      <c r="K427" s="7">
        <f t="shared" si="136"/>
        <v>35.699999999999996</v>
      </c>
      <c r="L427" s="7">
        <f t="shared" si="137"/>
        <v>28</v>
      </c>
      <c r="M427" s="7">
        <f t="shared" si="138"/>
        <v>25.2</v>
      </c>
      <c r="N427" s="7">
        <f t="shared" si="130"/>
        <v>85.714285714285722</v>
      </c>
      <c r="O427" s="7">
        <f t="shared" si="131"/>
        <v>109.28571428571429</v>
      </c>
      <c r="P427" s="4">
        <f t="shared" si="132"/>
        <v>121.42857142857143</v>
      </c>
      <c r="Q427" s="4">
        <f t="shared" si="133"/>
        <v>1238.6242857142859</v>
      </c>
      <c r="R427" s="4">
        <f t="shared" si="134"/>
        <v>1579.2459642857143</v>
      </c>
      <c r="S427" s="4">
        <f t="shared" si="134"/>
        <v>1754.717738095238</v>
      </c>
    </row>
    <row r="428" spans="1:19" ht="33" hidden="1" customHeight="1" x14ac:dyDescent="0.25">
      <c r="A428" s="5">
        <v>426</v>
      </c>
      <c r="B428" s="5">
        <v>404</v>
      </c>
      <c r="C428" s="6" t="s">
        <v>358</v>
      </c>
      <c r="D428" s="5">
        <v>497</v>
      </c>
      <c r="E428" s="7">
        <v>2.23</v>
      </c>
      <c r="F428" s="7">
        <f t="shared" si="128"/>
        <v>1108.31</v>
      </c>
      <c r="G428" s="8">
        <f t="shared" si="135"/>
        <v>1108.31</v>
      </c>
      <c r="H428" s="4">
        <f t="shared" si="129"/>
        <v>1413.0952499999999</v>
      </c>
      <c r="I428" s="4">
        <f t="shared" si="127"/>
        <v>1570.1058333333333</v>
      </c>
      <c r="J428" s="17">
        <v>3060</v>
      </c>
      <c r="K428" s="7">
        <f t="shared" si="136"/>
        <v>35.699999999999996</v>
      </c>
      <c r="L428" s="7">
        <f t="shared" si="137"/>
        <v>28</v>
      </c>
      <c r="M428" s="7">
        <f t="shared" si="138"/>
        <v>25.2</v>
      </c>
      <c r="N428" s="7">
        <f t="shared" si="130"/>
        <v>85.714285714285722</v>
      </c>
      <c r="O428" s="7">
        <f t="shared" si="131"/>
        <v>109.28571428571429</v>
      </c>
      <c r="P428" s="4">
        <f t="shared" si="132"/>
        <v>121.42857142857143</v>
      </c>
      <c r="Q428" s="4">
        <f t="shared" si="133"/>
        <v>1194.0242857142857</v>
      </c>
      <c r="R428" s="4">
        <f t="shared" si="134"/>
        <v>1522.3809642857141</v>
      </c>
      <c r="S428" s="4">
        <f t="shared" si="134"/>
        <v>1691.5344047619046</v>
      </c>
    </row>
    <row r="429" spans="1:19" ht="33" hidden="1" customHeight="1" x14ac:dyDescent="0.25">
      <c r="A429" s="5">
        <v>427</v>
      </c>
      <c r="B429" s="5">
        <v>405</v>
      </c>
      <c r="C429" s="6" t="s">
        <v>485</v>
      </c>
      <c r="D429" s="5">
        <v>432</v>
      </c>
      <c r="E429" s="7">
        <v>2.23</v>
      </c>
      <c r="F429" s="7">
        <f t="shared" si="128"/>
        <v>963.36</v>
      </c>
      <c r="G429" s="8">
        <f t="shared" si="135"/>
        <v>963.36</v>
      </c>
      <c r="H429" s="4">
        <f t="shared" si="129"/>
        <v>1228.2839999999999</v>
      </c>
      <c r="I429" s="4">
        <f t="shared" si="127"/>
        <v>1364.76</v>
      </c>
      <c r="J429" s="17">
        <v>1450</v>
      </c>
      <c r="K429" s="7">
        <f t="shared" si="136"/>
        <v>35.699999999999996</v>
      </c>
      <c r="L429" s="7">
        <f t="shared" si="137"/>
        <v>28</v>
      </c>
      <c r="M429" s="7">
        <f t="shared" si="138"/>
        <v>25.2</v>
      </c>
      <c r="N429" s="7">
        <f t="shared" si="130"/>
        <v>40.616246498599445</v>
      </c>
      <c r="O429" s="7">
        <f t="shared" si="131"/>
        <v>51.785714285714285</v>
      </c>
      <c r="P429" s="4">
        <f t="shared" si="132"/>
        <v>57.539682539682538</v>
      </c>
      <c r="Q429" s="4">
        <f t="shared" si="133"/>
        <v>1003.9762464985995</v>
      </c>
      <c r="R429" s="4">
        <f t="shared" si="134"/>
        <v>1280.0697142857141</v>
      </c>
      <c r="S429" s="4">
        <f t="shared" si="134"/>
        <v>1422.2996825396826</v>
      </c>
    </row>
    <row r="430" spans="1:19" ht="33" hidden="1" customHeight="1" x14ac:dyDescent="0.25">
      <c r="A430" s="5">
        <v>428</v>
      </c>
      <c r="B430" s="5">
        <v>406</v>
      </c>
      <c r="C430" s="6" t="s">
        <v>359</v>
      </c>
      <c r="D430" s="5">
        <v>460</v>
      </c>
      <c r="E430" s="7">
        <v>2.23</v>
      </c>
      <c r="F430" s="7">
        <f t="shared" si="128"/>
        <v>1025.8</v>
      </c>
      <c r="G430" s="8">
        <f t="shared" si="135"/>
        <v>1025.8</v>
      </c>
      <c r="H430" s="4">
        <f t="shared" si="129"/>
        <v>1307.8949999999998</v>
      </c>
      <c r="I430" s="4">
        <f t="shared" si="127"/>
        <v>1453.2166666666665</v>
      </c>
      <c r="J430" s="17">
        <v>1450</v>
      </c>
      <c r="K430" s="7">
        <f t="shared" si="136"/>
        <v>35.699999999999996</v>
      </c>
      <c r="L430" s="7">
        <f t="shared" si="137"/>
        <v>28</v>
      </c>
      <c r="M430" s="7">
        <f t="shared" si="138"/>
        <v>25.2</v>
      </c>
      <c r="N430" s="7">
        <f t="shared" si="130"/>
        <v>40.616246498599445</v>
      </c>
      <c r="O430" s="7">
        <f t="shared" si="131"/>
        <v>51.785714285714285</v>
      </c>
      <c r="P430" s="4">
        <f t="shared" si="132"/>
        <v>57.539682539682538</v>
      </c>
      <c r="Q430" s="4">
        <f t="shared" si="133"/>
        <v>1066.4162464985993</v>
      </c>
      <c r="R430" s="4">
        <f t="shared" si="134"/>
        <v>1359.680714285714</v>
      </c>
      <c r="S430" s="4">
        <f t="shared" si="134"/>
        <v>1510.7563492063491</v>
      </c>
    </row>
    <row r="431" spans="1:19" ht="33" hidden="1" customHeight="1" x14ac:dyDescent="0.25">
      <c r="A431" s="5">
        <v>429</v>
      </c>
      <c r="B431" s="5">
        <v>407</v>
      </c>
      <c r="C431" s="6" t="s">
        <v>486</v>
      </c>
      <c r="D431" s="5">
        <v>522</v>
      </c>
      <c r="E431" s="7">
        <v>2.23</v>
      </c>
      <c r="F431" s="7">
        <f t="shared" si="128"/>
        <v>1164.06</v>
      </c>
      <c r="G431" s="8">
        <f t="shared" si="135"/>
        <v>1164.06</v>
      </c>
      <c r="H431" s="4">
        <f t="shared" si="129"/>
        <v>1484.1764999999998</v>
      </c>
      <c r="I431" s="4">
        <f t="shared" si="127"/>
        <v>1649.085</v>
      </c>
      <c r="J431" s="17">
        <v>2900</v>
      </c>
      <c r="K431" s="7">
        <f t="shared" si="136"/>
        <v>35.699999999999996</v>
      </c>
      <c r="L431" s="7">
        <f t="shared" si="137"/>
        <v>28</v>
      </c>
      <c r="M431" s="7">
        <f t="shared" si="138"/>
        <v>25.2</v>
      </c>
      <c r="N431" s="7">
        <f t="shared" si="130"/>
        <v>81.232492997198889</v>
      </c>
      <c r="O431" s="7">
        <f t="shared" si="131"/>
        <v>103.57142857142857</v>
      </c>
      <c r="P431" s="4">
        <f t="shared" si="132"/>
        <v>115.07936507936508</v>
      </c>
      <c r="Q431" s="4">
        <f t="shared" si="133"/>
        <v>1245.2924929971989</v>
      </c>
      <c r="R431" s="4">
        <f t="shared" si="134"/>
        <v>1587.7479285714285</v>
      </c>
      <c r="S431" s="4">
        <f t="shared" si="134"/>
        <v>1764.1643650793651</v>
      </c>
    </row>
    <row r="432" spans="1:19" ht="33" hidden="1" customHeight="1" x14ac:dyDescent="0.25">
      <c r="A432" s="5">
        <v>430</v>
      </c>
      <c r="B432" s="5">
        <v>408</v>
      </c>
      <c r="C432" s="6" t="s">
        <v>487</v>
      </c>
      <c r="D432" s="5">
        <v>709</v>
      </c>
      <c r="E432" s="7">
        <v>2.23</v>
      </c>
      <c r="F432" s="7">
        <f t="shared" si="128"/>
        <v>1581.07</v>
      </c>
      <c r="G432" s="8">
        <f t="shared" si="135"/>
        <v>1581.07</v>
      </c>
      <c r="H432" s="4">
        <f t="shared" si="129"/>
        <v>2015.8642499999999</v>
      </c>
      <c r="I432" s="4">
        <f t="shared" si="127"/>
        <v>2239.8491666666664</v>
      </c>
      <c r="J432" s="17">
        <v>1290</v>
      </c>
      <c r="K432" s="7">
        <f t="shared" si="136"/>
        <v>35.699999999999996</v>
      </c>
      <c r="L432" s="7">
        <f t="shared" si="137"/>
        <v>28</v>
      </c>
      <c r="M432" s="7">
        <f t="shared" si="138"/>
        <v>25.2</v>
      </c>
      <c r="N432" s="7">
        <f t="shared" si="130"/>
        <v>36.134453781512612</v>
      </c>
      <c r="O432" s="7">
        <f t="shared" si="131"/>
        <v>46.071428571428569</v>
      </c>
      <c r="P432" s="4">
        <f t="shared" si="132"/>
        <v>51.19047619047619</v>
      </c>
      <c r="Q432" s="4">
        <f t="shared" si="133"/>
        <v>1617.2044537815125</v>
      </c>
      <c r="R432" s="4">
        <f t="shared" si="134"/>
        <v>2061.9356785714285</v>
      </c>
      <c r="S432" s="4">
        <f t="shared" si="134"/>
        <v>2291.0396428571426</v>
      </c>
    </row>
    <row r="433" spans="1:19" ht="33" hidden="1" customHeight="1" x14ac:dyDescent="0.25">
      <c r="A433" s="5">
        <v>431</v>
      </c>
      <c r="B433" s="5">
        <v>409</v>
      </c>
      <c r="C433" s="6" t="s">
        <v>360</v>
      </c>
      <c r="D433" s="5">
        <v>564</v>
      </c>
      <c r="E433" s="7">
        <v>2.23</v>
      </c>
      <c r="F433" s="7">
        <f t="shared" si="128"/>
        <v>1257.72</v>
      </c>
      <c r="G433" s="8">
        <f t="shared" si="135"/>
        <v>1257.72</v>
      </c>
      <c r="H433" s="4">
        <f t="shared" si="129"/>
        <v>1603.5929999999998</v>
      </c>
      <c r="I433" s="4">
        <f t="shared" si="127"/>
        <v>1781.77</v>
      </c>
      <c r="J433" s="17">
        <v>1290</v>
      </c>
      <c r="K433" s="7">
        <f t="shared" si="136"/>
        <v>35.699999999999996</v>
      </c>
      <c r="L433" s="7">
        <f t="shared" si="137"/>
        <v>28</v>
      </c>
      <c r="M433" s="7">
        <f t="shared" si="138"/>
        <v>25.2</v>
      </c>
      <c r="N433" s="7">
        <f t="shared" si="130"/>
        <v>36.134453781512612</v>
      </c>
      <c r="O433" s="7">
        <f t="shared" si="131"/>
        <v>46.071428571428569</v>
      </c>
      <c r="P433" s="4">
        <f t="shared" si="132"/>
        <v>51.19047619047619</v>
      </c>
      <c r="Q433" s="4">
        <f t="shared" si="133"/>
        <v>1293.8544537815126</v>
      </c>
      <c r="R433" s="4">
        <f t="shared" si="134"/>
        <v>1649.6644285714285</v>
      </c>
      <c r="S433" s="4">
        <f t="shared" si="134"/>
        <v>1832.9604761904761</v>
      </c>
    </row>
    <row r="434" spans="1:19" ht="33" hidden="1" customHeight="1" x14ac:dyDescent="0.25">
      <c r="A434" s="5">
        <v>432</v>
      </c>
      <c r="B434" s="5">
        <v>410</v>
      </c>
      <c r="C434" s="6" t="s">
        <v>361</v>
      </c>
      <c r="D434" s="5">
        <v>700</v>
      </c>
      <c r="E434" s="7">
        <v>2.23</v>
      </c>
      <c r="F434" s="7">
        <f t="shared" si="128"/>
        <v>1561</v>
      </c>
      <c r="G434" s="8">
        <f t="shared" si="135"/>
        <v>1561</v>
      </c>
      <c r="H434" s="4">
        <f t="shared" si="129"/>
        <v>1990.2749999999999</v>
      </c>
      <c r="I434" s="4">
        <f t="shared" si="127"/>
        <v>2211.4166666666665</v>
      </c>
      <c r="J434" s="17">
        <v>1575</v>
      </c>
      <c r="K434" s="7">
        <f t="shared" si="136"/>
        <v>35.699999999999996</v>
      </c>
      <c r="L434" s="7">
        <f t="shared" si="137"/>
        <v>28</v>
      </c>
      <c r="M434" s="7">
        <f t="shared" si="138"/>
        <v>25.2</v>
      </c>
      <c r="N434" s="7">
        <f t="shared" si="130"/>
        <v>44.117647058823536</v>
      </c>
      <c r="O434" s="7">
        <f t="shared" si="131"/>
        <v>56.25</v>
      </c>
      <c r="P434" s="4">
        <f t="shared" si="132"/>
        <v>62.5</v>
      </c>
      <c r="Q434" s="4">
        <f t="shared" si="133"/>
        <v>1605.1176470588234</v>
      </c>
      <c r="R434" s="4">
        <f t="shared" si="134"/>
        <v>2046.5249999999999</v>
      </c>
      <c r="S434" s="4">
        <f t="shared" si="134"/>
        <v>2273.9166666666665</v>
      </c>
    </row>
    <row r="435" spans="1:19" ht="33" hidden="1" customHeight="1" x14ac:dyDescent="0.25">
      <c r="A435" s="5">
        <v>433</v>
      </c>
      <c r="B435" s="5">
        <v>411</v>
      </c>
      <c r="C435" s="6" t="s">
        <v>362</v>
      </c>
      <c r="D435" s="5">
        <v>650</v>
      </c>
      <c r="E435" s="7">
        <v>2.23</v>
      </c>
      <c r="F435" s="7">
        <f t="shared" si="128"/>
        <v>1449.5</v>
      </c>
      <c r="G435" s="8">
        <f t="shared" si="135"/>
        <v>1449.5</v>
      </c>
      <c r="H435" s="4">
        <f t="shared" si="129"/>
        <v>1848.1125</v>
      </c>
      <c r="I435" s="4">
        <f t="shared" si="127"/>
        <v>2053.4583333333335</v>
      </c>
      <c r="J435" s="17">
        <v>1290</v>
      </c>
      <c r="K435" s="7">
        <f t="shared" si="136"/>
        <v>35.699999999999996</v>
      </c>
      <c r="L435" s="7">
        <f t="shared" si="137"/>
        <v>28</v>
      </c>
      <c r="M435" s="7">
        <f t="shared" si="138"/>
        <v>25.2</v>
      </c>
      <c r="N435" s="7">
        <f t="shared" si="130"/>
        <v>36.134453781512612</v>
      </c>
      <c r="O435" s="7">
        <f t="shared" si="131"/>
        <v>46.071428571428569</v>
      </c>
      <c r="P435" s="4">
        <f t="shared" si="132"/>
        <v>51.19047619047619</v>
      </c>
      <c r="Q435" s="4">
        <f t="shared" si="133"/>
        <v>1485.6344537815125</v>
      </c>
      <c r="R435" s="4">
        <f t="shared" si="134"/>
        <v>1894.1839285714286</v>
      </c>
      <c r="S435" s="4">
        <f t="shared" si="134"/>
        <v>2104.6488095238096</v>
      </c>
    </row>
    <row r="436" spans="1:19" ht="33" hidden="1" customHeight="1" x14ac:dyDescent="0.25">
      <c r="A436" s="5">
        <v>434</v>
      </c>
      <c r="B436" s="5">
        <v>412</v>
      </c>
      <c r="C436" s="6" t="s">
        <v>488</v>
      </c>
      <c r="D436" s="5">
        <v>627</v>
      </c>
      <c r="E436" s="7">
        <v>2.23</v>
      </c>
      <c r="F436" s="7">
        <f t="shared" si="128"/>
        <v>1398.21</v>
      </c>
      <c r="G436" s="8">
        <f t="shared" si="135"/>
        <v>1398.21</v>
      </c>
      <c r="H436" s="4">
        <f t="shared" si="129"/>
        <v>1782.71775</v>
      </c>
      <c r="I436" s="4">
        <f t="shared" si="127"/>
        <v>1980.7975000000001</v>
      </c>
      <c r="J436" s="17">
        <v>1290</v>
      </c>
      <c r="K436" s="7">
        <f t="shared" si="136"/>
        <v>35.699999999999996</v>
      </c>
      <c r="L436" s="7">
        <f t="shared" si="137"/>
        <v>28</v>
      </c>
      <c r="M436" s="7">
        <f t="shared" si="138"/>
        <v>25.2</v>
      </c>
      <c r="N436" s="7">
        <f t="shared" si="130"/>
        <v>36.134453781512612</v>
      </c>
      <c r="O436" s="7">
        <f t="shared" si="131"/>
        <v>46.071428571428569</v>
      </c>
      <c r="P436" s="4">
        <f t="shared" si="132"/>
        <v>51.19047619047619</v>
      </c>
      <c r="Q436" s="4">
        <f t="shared" si="133"/>
        <v>1434.3444537815126</v>
      </c>
      <c r="R436" s="4">
        <f t="shared" si="134"/>
        <v>1828.7891785714287</v>
      </c>
      <c r="S436" s="4">
        <f t="shared" si="134"/>
        <v>2031.9879761904763</v>
      </c>
    </row>
    <row r="437" spans="1:19" ht="33" hidden="1" customHeight="1" x14ac:dyDescent="0.25">
      <c r="A437" s="5">
        <v>435</v>
      </c>
      <c r="B437" s="5">
        <v>416</v>
      </c>
      <c r="C437" s="6" t="s">
        <v>489</v>
      </c>
      <c r="D437" s="5">
        <v>547</v>
      </c>
      <c r="E437" s="7">
        <v>2.23</v>
      </c>
      <c r="F437" s="7">
        <f t="shared" si="128"/>
        <v>1219.81</v>
      </c>
      <c r="G437" s="8">
        <f t="shared" si="135"/>
        <v>1219.81</v>
      </c>
      <c r="H437" s="4">
        <f t="shared" si="129"/>
        <v>1555.2577499999998</v>
      </c>
      <c r="I437" s="4">
        <f t="shared" si="127"/>
        <v>1728.0641666666666</v>
      </c>
      <c r="J437" s="17">
        <v>510</v>
      </c>
      <c r="K437" s="7">
        <f t="shared" si="136"/>
        <v>35.699999999999996</v>
      </c>
      <c r="L437" s="7">
        <f t="shared" si="137"/>
        <v>28</v>
      </c>
      <c r="M437" s="7">
        <f t="shared" si="138"/>
        <v>25.2</v>
      </c>
      <c r="N437" s="7">
        <f t="shared" si="130"/>
        <v>14.285714285714288</v>
      </c>
      <c r="O437" s="7">
        <f t="shared" si="131"/>
        <v>18.214285714285715</v>
      </c>
      <c r="P437" s="4">
        <f t="shared" si="132"/>
        <v>20.238095238095237</v>
      </c>
      <c r="Q437" s="4">
        <f t="shared" si="133"/>
        <v>1234.0957142857142</v>
      </c>
      <c r="R437" s="4">
        <f t="shared" si="134"/>
        <v>1573.4720357142855</v>
      </c>
      <c r="S437" s="4">
        <f t="shared" si="134"/>
        <v>1748.3022619047617</v>
      </c>
    </row>
    <row r="438" spans="1:19" ht="33" hidden="1" customHeight="1" x14ac:dyDescent="0.25">
      <c r="A438" s="5">
        <v>436</v>
      </c>
      <c r="B438" s="5">
        <v>417</v>
      </c>
      <c r="C438" s="6" t="s">
        <v>363</v>
      </c>
      <c r="D438" s="5">
        <v>463</v>
      </c>
      <c r="E438" s="7">
        <v>2.23</v>
      </c>
      <c r="F438" s="7">
        <f t="shared" si="128"/>
        <v>1032.49</v>
      </c>
      <c r="G438" s="8">
        <f t="shared" si="135"/>
        <v>1032.49</v>
      </c>
      <c r="H438" s="4">
        <f t="shared" si="129"/>
        <v>1316.4247499999999</v>
      </c>
      <c r="I438" s="4">
        <f t="shared" si="127"/>
        <v>1462.6941666666667</v>
      </c>
      <c r="J438" s="17">
        <v>1290</v>
      </c>
      <c r="K438" s="7">
        <f t="shared" si="136"/>
        <v>35.699999999999996</v>
      </c>
      <c r="L438" s="7">
        <f t="shared" si="137"/>
        <v>28</v>
      </c>
      <c r="M438" s="7">
        <f t="shared" si="138"/>
        <v>25.2</v>
      </c>
      <c r="N438" s="7">
        <f t="shared" si="130"/>
        <v>36.134453781512612</v>
      </c>
      <c r="O438" s="7">
        <f t="shared" si="131"/>
        <v>46.071428571428569</v>
      </c>
      <c r="P438" s="4">
        <f t="shared" si="132"/>
        <v>51.19047619047619</v>
      </c>
      <c r="Q438" s="4">
        <f t="shared" si="133"/>
        <v>1068.6244537815126</v>
      </c>
      <c r="R438" s="4">
        <f t="shared" si="134"/>
        <v>1362.4961785714286</v>
      </c>
      <c r="S438" s="4">
        <f t="shared" si="134"/>
        <v>1513.8846428571428</v>
      </c>
    </row>
    <row r="439" spans="1:19" ht="33" hidden="1" customHeight="1" x14ac:dyDescent="0.25">
      <c r="A439" s="5">
        <v>437</v>
      </c>
      <c r="B439" s="5">
        <v>418</v>
      </c>
      <c r="C439" s="6" t="s">
        <v>490</v>
      </c>
      <c r="D439" s="5">
        <v>718</v>
      </c>
      <c r="E439" s="7">
        <v>2.23</v>
      </c>
      <c r="F439" s="7">
        <f t="shared" si="128"/>
        <v>1601.14</v>
      </c>
      <c r="G439" s="8">
        <f t="shared" si="135"/>
        <v>1601.14</v>
      </c>
      <c r="H439" s="4">
        <f t="shared" si="129"/>
        <v>2041.4535000000001</v>
      </c>
      <c r="I439" s="4">
        <f t="shared" si="127"/>
        <v>2268.2816666666668</v>
      </c>
      <c r="J439" s="17">
        <v>1575</v>
      </c>
      <c r="K439" s="7">
        <f t="shared" si="136"/>
        <v>35.699999999999996</v>
      </c>
      <c r="L439" s="7">
        <f t="shared" si="137"/>
        <v>28</v>
      </c>
      <c r="M439" s="7">
        <f t="shared" si="138"/>
        <v>25.2</v>
      </c>
      <c r="N439" s="7">
        <f t="shared" si="130"/>
        <v>44.117647058823536</v>
      </c>
      <c r="O439" s="7">
        <f t="shared" si="131"/>
        <v>56.25</v>
      </c>
      <c r="P439" s="4">
        <f t="shared" si="132"/>
        <v>62.5</v>
      </c>
      <c r="Q439" s="4">
        <f t="shared" si="133"/>
        <v>1645.2576470588237</v>
      </c>
      <c r="R439" s="4">
        <f t="shared" si="134"/>
        <v>2097.7035000000001</v>
      </c>
      <c r="S439" s="4">
        <f t="shared" si="134"/>
        <v>2330.7816666666668</v>
      </c>
    </row>
    <row r="440" spans="1:19" ht="33" hidden="1" customHeight="1" x14ac:dyDescent="0.25">
      <c r="A440" s="5">
        <v>438</v>
      </c>
      <c r="B440" s="5">
        <v>421</v>
      </c>
      <c r="C440" s="6" t="s">
        <v>491</v>
      </c>
      <c r="D440" s="5">
        <v>576</v>
      </c>
      <c r="E440" s="7">
        <v>2.23</v>
      </c>
      <c r="F440" s="7">
        <f t="shared" si="128"/>
        <v>1284.48</v>
      </c>
      <c r="G440" s="8">
        <f t="shared" si="135"/>
        <v>1284.48</v>
      </c>
      <c r="H440" s="4">
        <f t="shared" si="129"/>
        <v>1637.712</v>
      </c>
      <c r="I440" s="4">
        <f t="shared" si="127"/>
        <v>1819.68</v>
      </c>
      <c r="J440" s="17">
        <v>1450</v>
      </c>
      <c r="K440" s="7">
        <f t="shared" si="136"/>
        <v>35.699999999999996</v>
      </c>
      <c r="L440" s="7">
        <f t="shared" si="137"/>
        <v>28</v>
      </c>
      <c r="M440" s="7">
        <f t="shared" si="138"/>
        <v>25.2</v>
      </c>
      <c r="N440" s="7">
        <f t="shared" si="130"/>
        <v>40.616246498599445</v>
      </c>
      <c r="O440" s="7">
        <f t="shared" si="131"/>
        <v>51.785714285714285</v>
      </c>
      <c r="P440" s="4">
        <f t="shared" si="132"/>
        <v>57.539682539682538</v>
      </c>
      <c r="Q440" s="4">
        <f t="shared" si="133"/>
        <v>1325.0962464985994</v>
      </c>
      <c r="R440" s="4">
        <f t="shared" si="134"/>
        <v>1689.4977142857142</v>
      </c>
      <c r="S440" s="4">
        <f t="shared" si="134"/>
        <v>1877.2196825396827</v>
      </c>
    </row>
    <row r="441" spans="1:19" ht="33" hidden="1" customHeight="1" x14ac:dyDescent="0.25">
      <c r="A441" s="5">
        <v>439</v>
      </c>
      <c r="B441" s="5">
        <v>424</v>
      </c>
      <c r="C441" s="6" t="s">
        <v>492</v>
      </c>
      <c r="D441" s="5">
        <v>370</v>
      </c>
      <c r="E441" s="7">
        <v>2.23</v>
      </c>
      <c r="F441" s="7">
        <f t="shared" si="128"/>
        <v>825.1</v>
      </c>
      <c r="G441" s="8">
        <f t="shared" si="135"/>
        <v>825.1</v>
      </c>
      <c r="H441" s="4">
        <f t="shared" si="129"/>
        <v>1052.0025000000001</v>
      </c>
      <c r="I441" s="4">
        <f t="shared" ref="I441:I467" si="139">(F441*51)/36</f>
        <v>1168.8916666666667</v>
      </c>
      <c r="J441" s="17">
        <v>2970</v>
      </c>
      <c r="K441" s="7">
        <f t="shared" si="136"/>
        <v>35.699999999999996</v>
      </c>
      <c r="L441" s="7">
        <f t="shared" si="137"/>
        <v>28</v>
      </c>
      <c r="M441" s="7">
        <f t="shared" si="138"/>
        <v>25.2</v>
      </c>
      <c r="N441" s="7">
        <f t="shared" si="130"/>
        <v>83.193277310924373</v>
      </c>
      <c r="O441" s="7">
        <f t="shared" si="131"/>
        <v>106.07142857142857</v>
      </c>
      <c r="P441" s="4">
        <f t="shared" si="132"/>
        <v>117.85714285714286</v>
      </c>
      <c r="Q441" s="4">
        <f t="shared" si="133"/>
        <v>908.2932773109244</v>
      </c>
      <c r="R441" s="4">
        <f t="shared" si="134"/>
        <v>1158.0739285714287</v>
      </c>
      <c r="S441" s="4">
        <f t="shared" si="134"/>
        <v>1286.7488095238095</v>
      </c>
    </row>
    <row r="442" spans="1:19" ht="33" hidden="1" customHeight="1" x14ac:dyDescent="0.25">
      <c r="A442" s="5">
        <v>440</v>
      </c>
      <c r="B442" s="5">
        <v>425</v>
      </c>
      <c r="C442" s="6" t="s">
        <v>364</v>
      </c>
      <c r="D442" s="5">
        <v>281</v>
      </c>
      <c r="E442" s="7">
        <v>2.23</v>
      </c>
      <c r="F442" s="7">
        <f t="shared" si="128"/>
        <v>626.63</v>
      </c>
      <c r="G442" s="8">
        <f t="shared" si="135"/>
        <v>626.63</v>
      </c>
      <c r="H442" s="4">
        <f t="shared" si="129"/>
        <v>798.95324999999991</v>
      </c>
      <c r="I442" s="4">
        <f t="shared" si="139"/>
        <v>887.72583333333341</v>
      </c>
      <c r="J442" s="17">
        <v>450</v>
      </c>
      <c r="K442" s="7">
        <f t="shared" si="136"/>
        <v>35.699999999999996</v>
      </c>
      <c r="L442" s="7">
        <f t="shared" si="137"/>
        <v>28</v>
      </c>
      <c r="M442" s="7">
        <f t="shared" si="138"/>
        <v>25.2</v>
      </c>
      <c r="N442" s="7">
        <f t="shared" si="130"/>
        <v>12.605042016806724</v>
      </c>
      <c r="O442" s="7">
        <f t="shared" si="131"/>
        <v>16.071428571428573</v>
      </c>
      <c r="P442" s="4">
        <f t="shared" si="132"/>
        <v>17.857142857142858</v>
      </c>
      <c r="Q442" s="4">
        <f t="shared" si="133"/>
        <v>639.23504201680669</v>
      </c>
      <c r="R442" s="4">
        <f t="shared" si="134"/>
        <v>815.02467857142847</v>
      </c>
      <c r="S442" s="4">
        <f t="shared" si="134"/>
        <v>905.5829761904763</v>
      </c>
    </row>
    <row r="443" spans="1:19" ht="33" hidden="1" customHeight="1" x14ac:dyDescent="0.25">
      <c r="A443" s="5">
        <v>441</v>
      </c>
      <c r="B443" s="5">
        <v>426</v>
      </c>
      <c r="C443" s="6" t="s">
        <v>493</v>
      </c>
      <c r="D443" s="5">
        <v>452</v>
      </c>
      <c r="E443" s="7">
        <v>2.23</v>
      </c>
      <c r="F443" s="7">
        <f t="shared" si="128"/>
        <v>1007.96</v>
      </c>
      <c r="G443" s="8">
        <f t="shared" si="135"/>
        <v>1007.96</v>
      </c>
      <c r="H443" s="4">
        <f t="shared" si="129"/>
        <v>1285.1489999999999</v>
      </c>
      <c r="I443" s="4">
        <f t="shared" si="139"/>
        <v>1427.9433333333334</v>
      </c>
      <c r="J443" s="17">
        <v>1450</v>
      </c>
      <c r="K443" s="7">
        <f t="shared" si="136"/>
        <v>35.699999999999996</v>
      </c>
      <c r="L443" s="7">
        <f t="shared" si="137"/>
        <v>28</v>
      </c>
      <c r="M443" s="7">
        <f t="shared" si="138"/>
        <v>25.2</v>
      </c>
      <c r="N443" s="7">
        <f t="shared" si="130"/>
        <v>40.616246498599445</v>
      </c>
      <c r="O443" s="7">
        <f t="shared" si="131"/>
        <v>51.785714285714285</v>
      </c>
      <c r="P443" s="4">
        <f t="shared" si="132"/>
        <v>57.539682539682538</v>
      </c>
      <c r="Q443" s="4">
        <f t="shared" si="133"/>
        <v>1048.5762464985994</v>
      </c>
      <c r="R443" s="4">
        <f t="shared" si="134"/>
        <v>1336.9347142857141</v>
      </c>
      <c r="S443" s="4">
        <f t="shared" si="134"/>
        <v>1485.483015873016</v>
      </c>
    </row>
    <row r="444" spans="1:19" ht="33" hidden="1" customHeight="1" x14ac:dyDescent="0.25">
      <c r="A444" s="5">
        <v>442</v>
      </c>
      <c r="B444" s="5">
        <v>427</v>
      </c>
      <c r="C444" s="6" t="s">
        <v>494</v>
      </c>
      <c r="D444" s="5">
        <v>460</v>
      </c>
      <c r="E444" s="7">
        <v>2.23</v>
      </c>
      <c r="F444" s="7">
        <f t="shared" si="128"/>
        <v>1025.8</v>
      </c>
      <c r="G444" s="8">
        <f t="shared" si="135"/>
        <v>1025.8</v>
      </c>
      <c r="H444" s="4">
        <f t="shared" si="129"/>
        <v>1307.8949999999998</v>
      </c>
      <c r="I444" s="4">
        <f t="shared" si="139"/>
        <v>1453.2166666666665</v>
      </c>
      <c r="J444" s="17">
        <v>330</v>
      </c>
      <c r="K444" s="7">
        <f t="shared" si="136"/>
        <v>35.699999999999996</v>
      </c>
      <c r="L444" s="7">
        <f t="shared" si="137"/>
        <v>28</v>
      </c>
      <c r="M444" s="7">
        <f t="shared" si="138"/>
        <v>25.2</v>
      </c>
      <c r="N444" s="7">
        <f t="shared" si="130"/>
        <v>9.2436974789915975</v>
      </c>
      <c r="O444" s="7">
        <f t="shared" si="131"/>
        <v>11.785714285714286</v>
      </c>
      <c r="P444" s="4">
        <f t="shared" si="132"/>
        <v>13.095238095238095</v>
      </c>
      <c r="Q444" s="4">
        <f t="shared" si="133"/>
        <v>1035.0436974789916</v>
      </c>
      <c r="R444" s="4">
        <f t="shared" si="134"/>
        <v>1319.680714285714</v>
      </c>
      <c r="S444" s="4">
        <f t="shared" si="134"/>
        <v>1466.3119047619045</v>
      </c>
    </row>
    <row r="445" spans="1:19" ht="33" hidden="1" customHeight="1" x14ac:dyDescent="0.25">
      <c r="A445" s="5">
        <v>443</v>
      </c>
      <c r="B445" s="5">
        <v>428</v>
      </c>
      <c r="C445" s="6" t="s">
        <v>495</v>
      </c>
      <c r="D445" s="5">
        <v>470</v>
      </c>
      <c r="E445" s="7">
        <v>2.23</v>
      </c>
      <c r="F445" s="7">
        <f t="shared" si="128"/>
        <v>1048.0999999999999</v>
      </c>
      <c r="G445" s="8">
        <f t="shared" si="135"/>
        <v>1048.0999999999999</v>
      </c>
      <c r="H445" s="4">
        <f t="shared" si="129"/>
        <v>1336.3274999999999</v>
      </c>
      <c r="I445" s="4">
        <f t="shared" si="139"/>
        <v>1484.8083333333334</v>
      </c>
      <c r="J445" s="17">
        <v>2900</v>
      </c>
      <c r="K445" s="7">
        <f t="shared" si="136"/>
        <v>35.699999999999996</v>
      </c>
      <c r="L445" s="7">
        <f t="shared" si="137"/>
        <v>28</v>
      </c>
      <c r="M445" s="7">
        <f t="shared" si="138"/>
        <v>25.2</v>
      </c>
      <c r="N445" s="7">
        <f t="shared" si="130"/>
        <v>81.232492997198889</v>
      </c>
      <c r="O445" s="7">
        <f t="shared" si="131"/>
        <v>103.57142857142857</v>
      </c>
      <c r="P445" s="4">
        <f t="shared" si="132"/>
        <v>115.07936507936508</v>
      </c>
      <c r="Q445" s="4">
        <f t="shared" si="133"/>
        <v>1129.3324929971989</v>
      </c>
      <c r="R445" s="4">
        <f t="shared" si="134"/>
        <v>1439.8989285714285</v>
      </c>
      <c r="S445" s="4">
        <f t="shared" si="134"/>
        <v>1599.8876984126985</v>
      </c>
    </row>
    <row r="446" spans="1:19" ht="33" hidden="1" customHeight="1" x14ac:dyDescent="0.25">
      <c r="A446" s="5">
        <v>444</v>
      </c>
      <c r="B446" s="5">
        <v>429</v>
      </c>
      <c r="C446" s="6" t="s">
        <v>365</v>
      </c>
      <c r="D446" s="5">
        <v>460</v>
      </c>
      <c r="E446" s="7">
        <v>2.23</v>
      </c>
      <c r="F446" s="7">
        <f t="shared" si="128"/>
        <v>1025.8</v>
      </c>
      <c r="G446" s="8">
        <f t="shared" si="135"/>
        <v>1025.8</v>
      </c>
      <c r="H446" s="4">
        <f t="shared" si="129"/>
        <v>1307.8949999999998</v>
      </c>
      <c r="I446" s="4">
        <f t="shared" si="139"/>
        <v>1453.2166666666665</v>
      </c>
      <c r="J446" s="17">
        <v>1555</v>
      </c>
      <c r="K446" s="7">
        <f t="shared" si="136"/>
        <v>35.699999999999996</v>
      </c>
      <c r="L446" s="7">
        <f t="shared" si="137"/>
        <v>28</v>
      </c>
      <c r="M446" s="7">
        <f t="shared" si="138"/>
        <v>25.2</v>
      </c>
      <c r="N446" s="7">
        <f t="shared" si="130"/>
        <v>43.557422969187684</v>
      </c>
      <c r="O446" s="7">
        <f t="shared" si="131"/>
        <v>55.535714285714285</v>
      </c>
      <c r="P446" s="4">
        <f t="shared" si="132"/>
        <v>61.706349206349209</v>
      </c>
      <c r="Q446" s="4">
        <f t="shared" si="133"/>
        <v>1069.3574229691876</v>
      </c>
      <c r="R446" s="4">
        <f t="shared" si="134"/>
        <v>1363.430714285714</v>
      </c>
      <c r="S446" s="4">
        <f t="shared" si="134"/>
        <v>1514.9230158730156</v>
      </c>
    </row>
    <row r="447" spans="1:19" ht="33" hidden="1" customHeight="1" x14ac:dyDescent="0.25">
      <c r="A447" s="5">
        <v>445</v>
      </c>
      <c r="B447" s="5">
        <v>433</v>
      </c>
      <c r="C447" s="6" t="s">
        <v>366</v>
      </c>
      <c r="D447" s="5">
        <v>844</v>
      </c>
      <c r="E447" s="7">
        <v>2.23</v>
      </c>
      <c r="F447" s="7">
        <f t="shared" si="128"/>
        <v>1882.12</v>
      </c>
      <c r="G447" s="8">
        <f t="shared" si="135"/>
        <v>1882.12</v>
      </c>
      <c r="H447" s="4">
        <f t="shared" si="129"/>
        <v>2399.7029999999995</v>
      </c>
      <c r="I447" s="4">
        <f t="shared" si="139"/>
        <v>2666.3366666666666</v>
      </c>
      <c r="J447" s="17">
        <v>1450</v>
      </c>
      <c r="K447" s="7">
        <f t="shared" si="136"/>
        <v>35.699999999999996</v>
      </c>
      <c r="L447" s="7">
        <f t="shared" si="137"/>
        <v>28</v>
      </c>
      <c r="M447" s="7">
        <f t="shared" si="138"/>
        <v>25.2</v>
      </c>
      <c r="N447" s="7">
        <f t="shared" si="130"/>
        <v>40.616246498599445</v>
      </c>
      <c r="O447" s="7">
        <f t="shared" si="131"/>
        <v>51.785714285714285</v>
      </c>
      <c r="P447" s="4">
        <f t="shared" si="132"/>
        <v>57.539682539682538</v>
      </c>
      <c r="Q447" s="4">
        <f t="shared" si="133"/>
        <v>1922.7362464985993</v>
      </c>
      <c r="R447" s="4">
        <f t="shared" si="134"/>
        <v>2451.4887142857137</v>
      </c>
      <c r="S447" s="4">
        <f t="shared" si="134"/>
        <v>2723.876349206349</v>
      </c>
    </row>
    <row r="448" spans="1:19" ht="33" hidden="1" customHeight="1" x14ac:dyDescent="0.25">
      <c r="A448" s="5">
        <v>446</v>
      </c>
      <c r="B448" s="5">
        <v>434</v>
      </c>
      <c r="C448" s="6" t="s">
        <v>367</v>
      </c>
      <c r="D448" s="5">
        <v>415</v>
      </c>
      <c r="E448" s="7">
        <v>2.23</v>
      </c>
      <c r="F448" s="7">
        <f t="shared" si="128"/>
        <v>925.45</v>
      </c>
      <c r="G448" s="8">
        <f t="shared" si="135"/>
        <v>925.45</v>
      </c>
      <c r="H448" s="4">
        <f t="shared" si="129"/>
        <v>1179.94875</v>
      </c>
      <c r="I448" s="4">
        <f t="shared" si="139"/>
        <v>1311.0541666666668</v>
      </c>
      <c r="J448" s="17">
        <v>450</v>
      </c>
      <c r="K448" s="7">
        <f t="shared" si="136"/>
        <v>35.699999999999996</v>
      </c>
      <c r="L448" s="7">
        <f t="shared" si="137"/>
        <v>28</v>
      </c>
      <c r="M448" s="7">
        <f t="shared" si="138"/>
        <v>25.2</v>
      </c>
      <c r="N448" s="7">
        <f t="shared" si="130"/>
        <v>12.605042016806724</v>
      </c>
      <c r="O448" s="7">
        <f t="shared" si="131"/>
        <v>16.071428571428573</v>
      </c>
      <c r="P448" s="4">
        <f t="shared" si="132"/>
        <v>17.857142857142858</v>
      </c>
      <c r="Q448" s="4">
        <f t="shared" si="133"/>
        <v>938.05504201680674</v>
      </c>
      <c r="R448" s="4">
        <f t="shared" si="134"/>
        <v>1196.0201785714287</v>
      </c>
      <c r="S448" s="4">
        <f t="shared" si="134"/>
        <v>1328.9113095238097</v>
      </c>
    </row>
    <row r="449" spans="1:19" ht="33" hidden="1" customHeight="1" x14ac:dyDescent="0.25">
      <c r="A449" s="5">
        <v>447</v>
      </c>
      <c r="B449" s="5">
        <v>435</v>
      </c>
      <c r="C449" s="6" t="s">
        <v>368</v>
      </c>
      <c r="D449" s="5">
        <v>303</v>
      </c>
      <c r="E449" s="7">
        <v>2.23</v>
      </c>
      <c r="F449" s="7">
        <f t="shared" si="128"/>
        <v>675.68999999999994</v>
      </c>
      <c r="G449" s="8">
        <f t="shared" si="135"/>
        <v>675.68999999999994</v>
      </c>
      <c r="H449" s="4">
        <f t="shared" si="129"/>
        <v>861.50474999999983</v>
      </c>
      <c r="I449" s="4">
        <f t="shared" si="139"/>
        <v>957.22749999999985</v>
      </c>
      <c r="J449" s="17">
        <v>450</v>
      </c>
      <c r="K449" s="7">
        <f t="shared" si="136"/>
        <v>35.699999999999996</v>
      </c>
      <c r="L449" s="7">
        <f t="shared" si="137"/>
        <v>28</v>
      </c>
      <c r="M449" s="7">
        <f t="shared" si="138"/>
        <v>25.2</v>
      </c>
      <c r="N449" s="7">
        <f t="shared" si="130"/>
        <v>12.605042016806724</v>
      </c>
      <c r="O449" s="7">
        <f t="shared" si="131"/>
        <v>16.071428571428573</v>
      </c>
      <c r="P449" s="4">
        <f t="shared" si="132"/>
        <v>17.857142857142858</v>
      </c>
      <c r="Q449" s="4">
        <f t="shared" si="133"/>
        <v>688.29504201680663</v>
      </c>
      <c r="R449" s="4">
        <f t="shared" si="134"/>
        <v>877.57617857142839</v>
      </c>
      <c r="S449" s="4">
        <f t="shared" si="134"/>
        <v>975.08464285714274</v>
      </c>
    </row>
    <row r="450" spans="1:19" ht="33" hidden="1" customHeight="1" x14ac:dyDescent="0.25">
      <c r="A450" s="5">
        <v>448</v>
      </c>
      <c r="B450" s="5">
        <v>436</v>
      </c>
      <c r="C450" s="6" t="s">
        <v>369</v>
      </c>
      <c r="D450" s="5">
        <v>738</v>
      </c>
      <c r="E450" s="7">
        <v>2.23</v>
      </c>
      <c r="F450" s="7">
        <f t="shared" si="128"/>
        <v>1645.74</v>
      </c>
      <c r="G450" s="8">
        <f t="shared" si="135"/>
        <v>1645.74</v>
      </c>
      <c r="H450" s="4">
        <f t="shared" si="129"/>
        <v>2098.3184999999999</v>
      </c>
      <c r="I450" s="4">
        <f t="shared" si="139"/>
        <v>2331.4650000000001</v>
      </c>
      <c r="J450" s="17">
        <v>3215</v>
      </c>
      <c r="K450" s="7">
        <f t="shared" si="136"/>
        <v>35.699999999999996</v>
      </c>
      <c r="L450" s="7">
        <f t="shared" si="137"/>
        <v>28</v>
      </c>
      <c r="M450" s="7">
        <f t="shared" si="138"/>
        <v>25.2</v>
      </c>
      <c r="N450" s="7">
        <f t="shared" si="130"/>
        <v>90.056022408963599</v>
      </c>
      <c r="O450" s="7">
        <f t="shared" si="131"/>
        <v>114.82142857142857</v>
      </c>
      <c r="P450" s="4">
        <f t="shared" si="132"/>
        <v>127.57936507936509</v>
      </c>
      <c r="Q450" s="4">
        <f t="shared" si="133"/>
        <v>1735.7960224089636</v>
      </c>
      <c r="R450" s="4">
        <f t="shared" si="134"/>
        <v>2213.1399285714283</v>
      </c>
      <c r="S450" s="4">
        <f t="shared" si="134"/>
        <v>2459.0443650793654</v>
      </c>
    </row>
    <row r="451" spans="1:19" ht="33" hidden="1" customHeight="1" x14ac:dyDescent="0.25">
      <c r="A451" s="5">
        <v>449</v>
      </c>
      <c r="B451" s="5">
        <v>437</v>
      </c>
      <c r="C451" s="6" t="s">
        <v>496</v>
      </c>
      <c r="D451" s="5">
        <v>721</v>
      </c>
      <c r="E451" s="7">
        <v>2.23</v>
      </c>
      <c r="F451" s="7">
        <f t="shared" si="128"/>
        <v>1607.83</v>
      </c>
      <c r="G451" s="8">
        <f t="shared" si="135"/>
        <v>1607.83</v>
      </c>
      <c r="H451" s="4">
        <f t="shared" si="129"/>
        <v>2049.9832499999998</v>
      </c>
      <c r="I451" s="4">
        <f t="shared" si="139"/>
        <v>2277.7591666666667</v>
      </c>
      <c r="J451" s="17">
        <v>1625</v>
      </c>
      <c r="K451" s="7">
        <f t="shared" si="136"/>
        <v>35.699999999999996</v>
      </c>
      <c r="L451" s="7">
        <f t="shared" si="137"/>
        <v>28</v>
      </c>
      <c r="M451" s="7">
        <f t="shared" si="138"/>
        <v>25.2</v>
      </c>
      <c r="N451" s="7">
        <f t="shared" si="130"/>
        <v>45.518207282913174</v>
      </c>
      <c r="O451" s="7">
        <f t="shared" si="131"/>
        <v>58.035714285714285</v>
      </c>
      <c r="P451" s="4">
        <f t="shared" si="132"/>
        <v>64.484126984126988</v>
      </c>
      <c r="Q451" s="4">
        <f t="shared" si="133"/>
        <v>1653.3482072829131</v>
      </c>
      <c r="R451" s="4">
        <f t="shared" si="134"/>
        <v>2108.018964285714</v>
      </c>
      <c r="S451" s="4">
        <f t="shared" si="134"/>
        <v>2342.2432936507939</v>
      </c>
    </row>
    <row r="452" spans="1:19" ht="33" hidden="1" customHeight="1" x14ac:dyDescent="0.25">
      <c r="A452" s="5">
        <v>450</v>
      </c>
      <c r="B452" s="5">
        <v>438</v>
      </c>
      <c r="C452" s="6" t="s">
        <v>497</v>
      </c>
      <c r="D452" s="5">
        <v>644</v>
      </c>
      <c r="E452" s="7">
        <v>2.23</v>
      </c>
      <c r="F452" s="7">
        <f t="shared" si="128"/>
        <v>1436.12</v>
      </c>
      <c r="G452" s="8">
        <f t="shared" si="135"/>
        <v>1436.12</v>
      </c>
      <c r="H452" s="4">
        <f t="shared" si="129"/>
        <v>1831.0529999999997</v>
      </c>
      <c r="I452" s="4">
        <f t="shared" si="139"/>
        <v>2034.5033333333331</v>
      </c>
      <c r="J452" s="17">
        <v>1575</v>
      </c>
      <c r="K452" s="7">
        <f t="shared" si="136"/>
        <v>35.699999999999996</v>
      </c>
      <c r="L452" s="7">
        <f t="shared" si="137"/>
        <v>28</v>
      </c>
      <c r="M452" s="7">
        <f t="shared" si="138"/>
        <v>25.2</v>
      </c>
      <c r="N452" s="7">
        <f t="shared" si="130"/>
        <v>44.117647058823536</v>
      </c>
      <c r="O452" s="7">
        <f t="shared" si="131"/>
        <v>56.25</v>
      </c>
      <c r="P452" s="4">
        <f t="shared" si="132"/>
        <v>62.5</v>
      </c>
      <c r="Q452" s="4">
        <f t="shared" si="133"/>
        <v>1480.2376470588233</v>
      </c>
      <c r="R452" s="4">
        <f t="shared" si="134"/>
        <v>1887.3029999999997</v>
      </c>
      <c r="S452" s="4">
        <f t="shared" si="134"/>
        <v>2097.0033333333331</v>
      </c>
    </row>
    <row r="453" spans="1:19" ht="33" hidden="1" customHeight="1" x14ac:dyDescent="0.25">
      <c r="A453" s="5">
        <v>451</v>
      </c>
      <c r="B453" s="5">
        <v>439</v>
      </c>
      <c r="C453" s="6" t="s">
        <v>498</v>
      </c>
      <c r="D453" s="5">
        <v>690</v>
      </c>
      <c r="E453" s="7">
        <v>2.23</v>
      </c>
      <c r="F453" s="7">
        <f t="shared" si="128"/>
        <v>1538.7</v>
      </c>
      <c r="G453" s="8">
        <f t="shared" si="135"/>
        <v>1538.7</v>
      </c>
      <c r="H453" s="4">
        <f t="shared" si="129"/>
        <v>1961.8425</v>
      </c>
      <c r="I453" s="4">
        <f t="shared" si="139"/>
        <v>2179.8249999999998</v>
      </c>
      <c r="J453" s="17">
        <v>3450</v>
      </c>
      <c r="K453" s="7">
        <f t="shared" si="136"/>
        <v>35.699999999999996</v>
      </c>
      <c r="L453" s="7">
        <f t="shared" si="137"/>
        <v>28</v>
      </c>
      <c r="M453" s="7">
        <f t="shared" si="138"/>
        <v>25.2</v>
      </c>
      <c r="N453" s="7">
        <f t="shared" si="130"/>
        <v>96.638655462184886</v>
      </c>
      <c r="O453" s="7">
        <f t="shared" si="131"/>
        <v>123.21428571428571</v>
      </c>
      <c r="P453" s="4">
        <f t="shared" si="132"/>
        <v>136.9047619047619</v>
      </c>
      <c r="Q453" s="4">
        <f t="shared" si="133"/>
        <v>1635.338655462185</v>
      </c>
      <c r="R453" s="4">
        <f t="shared" si="134"/>
        <v>2085.0567857142855</v>
      </c>
      <c r="S453" s="4">
        <f t="shared" si="134"/>
        <v>2316.7297619047617</v>
      </c>
    </row>
    <row r="454" spans="1:19" ht="33" hidden="1" customHeight="1" x14ac:dyDescent="0.25">
      <c r="A454" s="5">
        <v>452</v>
      </c>
      <c r="B454" s="5">
        <v>440</v>
      </c>
      <c r="C454" s="6" t="s">
        <v>499</v>
      </c>
      <c r="D454" s="5">
        <v>491</v>
      </c>
      <c r="E454" s="7">
        <v>2.23</v>
      </c>
      <c r="F454" s="7">
        <f t="shared" si="128"/>
        <v>1094.93</v>
      </c>
      <c r="G454" s="8">
        <f t="shared" si="135"/>
        <v>1094.93</v>
      </c>
      <c r="H454" s="4">
        <f t="shared" si="129"/>
        <v>1396.03575</v>
      </c>
      <c r="I454" s="4">
        <f t="shared" si="139"/>
        <v>1551.1508333333334</v>
      </c>
      <c r="J454" s="17">
        <v>3060</v>
      </c>
      <c r="K454" s="7">
        <f t="shared" si="136"/>
        <v>35.699999999999996</v>
      </c>
      <c r="L454" s="7">
        <f t="shared" si="137"/>
        <v>28</v>
      </c>
      <c r="M454" s="7">
        <f t="shared" si="138"/>
        <v>25.2</v>
      </c>
      <c r="N454" s="7">
        <f t="shared" si="130"/>
        <v>85.714285714285722</v>
      </c>
      <c r="O454" s="7">
        <f t="shared" si="131"/>
        <v>109.28571428571429</v>
      </c>
      <c r="P454" s="4">
        <f t="shared" si="132"/>
        <v>121.42857142857143</v>
      </c>
      <c r="Q454" s="4">
        <f t="shared" si="133"/>
        <v>1180.6442857142858</v>
      </c>
      <c r="R454" s="4">
        <f t="shared" si="134"/>
        <v>1505.3214642857142</v>
      </c>
      <c r="S454" s="4">
        <f t="shared" si="134"/>
        <v>1672.5794047619047</v>
      </c>
    </row>
    <row r="455" spans="1:19" ht="33" hidden="1" customHeight="1" x14ac:dyDescent="0.25">
      <c r="A455" s="5">
        <v>453</v>
      </c>
      <c r="B455" s="5">
        <v>441</v>
      </c>
      <c r="C455" s="6" t="s">
        <v>500</v>
      </c>
      <c r="D455" s="5">
        <v>485</v>
      </c>
      <c r="E455" s="7">
        <v>2.23</v>
      </c>
      <c r="F455" s="7">
        <f t="shared" si="128"/>
        <v>1081.55</v>
      </c>
      <c r="G455" s="8">
        <f t="shared" si="135"/>
        <v>1081.55</v>
      </c>
      <c r="H455" s="4">
        <f t="shared" si="129"/>
        <v>1378.9762499999999</v>
      </c>
      <c r="I455" s="4">
        <f t="shared" si="139"/>
        <v>1532.1958333333332</v>
      </c>
      <c r="J455" s="17">
        <v>3060</v>
      </c>
      <c r="K455" s="7">
        <f t="shared" si="136"/>
        <v>35.699999999999996</v>
      </c>
      <c r="L455" s="7">
        <f t="shared" si="137"/>
        <v>28</v>
      </c>
      <c r="M455" s="7">
        <f t="shared" si="138"/>
        <v>25.2</v>
      </c>
      <c r="N455" s="7">
        <f t="shared" si="130"/>
        <v>85.714285714285722</v>
      </c>
      <c r="O455" s="7">
        <f t="shared" si="131"/>
        <v>109.28571428571429</v>
      </c>
      <c r="P455" s="4">
        <f t="shared" si="132"/>
        <v>121.42857142857143</v>
      </c>
      <c r="Q455" s="4">
        <f t="shared" si="133"/>
        <v>1167.2642857142857</v>
      </c>
      <c r="R455" s="4">
        <f t="shared" si="134"/>
        <v>1488.2619642857142</v>
      </c>
      <c r="S455" s="4">
        <f t="shared" si="134"/>
        <v>1653.6244047619045</v>
      </c>
    </row>
    <row r="456" spans="1:19" ht="33" hidden="1" customHeight="1" x14ac:dyDescent="0.25">
      <c r="A456" s="5">
        <v>454</v>
      </c>
      <c r="B456" s="5">
        <v>442</v>
      </c>
      <c r="C456" s="6" t="s">
        <v>370</v>
      </c>
      <c r="D456" s="5">
        <v>482</v>
      </c>
      <c r="E456" s="7">
        <v>2.23</v>
      </c>
      <c r="F456" s="7">
        <f t="shared" si="128"/>
        <v>1074.8599999999999</v>
      </c>
      <c r="G456" s="8">
        <f t="shared" si="135"/>
        <v>1074.8599999999999</v>
      </c>
      <c r="H456" s="4">
        <f t="shared" si="129"/>
        <v>1370.4464999999998</v>
      </c>
      <c r="I456" s="4">
        <f t="shared" si="139"/>
        <v>1522.7183333333332</v>
      </c>
      <c r="J456" s="17">
        <v>1450</v>
      </c>
      <c r="K456" s="7">
        <f t="shared" si="136"/>
        <v>35.699999999999996</v>
      </c>
      <c r="L456" s="7">
        <f t="shared" si="137"/>
        <v>28</v>
      </c>
      <c r="M456" s="7">
        <f t="shared" si="138"/>
        <v>25.2</v>
      </c>
      <c r="N456" s="7">
        <f t="shared" si="130"/>
        <v>40.616246498599445</v>
      </c>
      <c r="O456" s="7">
        <f t="shared" si="131"/>
        <v>51.785714285714285</v>
      </c>
      <c r="P456" s="4">
        <f t="shared" si="132"/>
        <v>57.539682539682538</v>
      </c>
      <c r="Q456" s="4">
        <f t="shared" si="133"/>
        <v>1115.4762464985993</v>
      </c>
      <c r="R456" s="4">
        <f t="shared" si="134"/>
        <v>1422.232214285714</v>
      </c>
      <c r="S456" s="4">
        <f t="shared" si="134"/>
        <v>1580.2580158730159</v>
      </c>
    </row>
    <row r="457" spans="1:19" ht="33" hidden="1" customHeight="1" x14ac:dyDescent="0.25">
      <c r="A457" s="5">
        <v>455</v>
      </c>
      <c r="B457" s="13">
        <v>444</v>
      </c>
      <c r="C457" s="6" t="s">
        <v>501</v>
      </c>
      <c r="D457" s="5">
        <v>245</v>
      </c>
      <c r="E457" s="7">
        <v>2.23</v>
      </c>
      <c r="F457" s="7">
        <f t="shared" si="128"/>
        <v>546.35</v>
      </c>
      <c r="G457" s="8">
        <f t="shared" si="135"/>
        <v>546.35</v>
      </c>
      <c r="H457" s="4">
        <f t="shared" si="129"/>
        <v>696.59624999999994</v>
      </c>
      <c r="I457" s="4">
        <f t="shared" si="139"/>
        <v>773.99583333333339</v>
      </c>
      <c r="J457" s="17">
        <v>365</v>
      </c>
      <c r="K457" s="7">
        <f t="shared" si="136"/>
        <v>35.699999999999996</v>
      </c>
      <c r="L457" s="7">
        <f t="shared" si="137"/>
        <v>28</v>
      </c>
      <c r="M457" s="7">
        <f t="shared" si="138"/>
        <v>25.2</v>
      </c>
      <c r="N457" s="7">
        <f t="shared" si="130"/>
        <v>10.224089635854343</v>
      </c>
      <c r="O457" s="7">
        <f t="shared" si="131"/>
        <v>13.035714285714286</v>
      </c>
      <c r="P457" s="4">
        <f t="shared" si="132"/>
        <v>14.484126984126984</v>
      </c>
      <c r="Q457" s="4">
        <f t="shared" si="133"/>
        <v>556.57408963585442</v>
      </c>
      <c r="R457" s="4">
        <f t="shared" si="134"/>
        <v>709.63196428571428</v>
      </c>
      <c r="S457" s="4">
        <f t="shared" si="134"/>
        <v>788.47996031746038</v>
      </c>
    </row>
    <row r="458" spans="1:19" ht="33" hidden="1" customHeight="1" x14ac:dyDescent="0.25">
      <c r="A458" s="5">
        <v>456</v>
      </c>
      <c r="B458" s="13">
        <v>445</v>
      </c>
      <c r="C458" s="6" t="s">
        <v>502</v>
      </c>
      <c r="D458" s="5">
        <v>309</v>
      </c>
      <c r="E458" s="7">
        <v>2.23</v>
      </c>
      <c r="F458" s="7">
        <f t="shared" si="128"/>
        <v>689.07</v>
      </c>
      <c r="G458" s="8">
        <f t="shared" si="135"/>
        <v>689.07</v>
      </c>
      <c r="H458" s="4">
        <f t="shared" si="129"/>
        <v>878.56425000000002</v>
      </c>
      <c r="I458" s="4">
        <f t="shared" si="139"/>
        <v>976.1825</v>
      </c>
      <c r="J458" s="17">
        <v>365</v>
      </c>
      <c r="K458" s="7">
        <f t="shared" si="136"/>
        <v>35.699999999999996</v>
      </c>
      <c r="L458" s="7">
        <f t="shared" si="137"/>
        <v>28</v>
      </c>
      <c r="M458" s="7">
        <f t="shared" si="138"/>
        <v>25.2</v>
      </c>
      <c r="N458" s="7">
        <f t="shared" si="130"/>
        <v>10.224089635854343</v>
      </c>
      <c r="O458" s="7">
        <f t="shared" si="131"/>
        <v>13.035714285714286</v>
      </c>
      <c r="P458" s="4">
        <f t="shared" si="132"/>
        <v>14.484126984126984</v>
      </c>
      <c r="Q458" s="4">
        <f t="shared" si="133"/>
        <v>699.29408963585445</v>
      </c>
      <c r="R458" s="4">
        <f t="shared" si="134"/>
        <v>891.59996428571435</v>
      </c>
      <c r="S458" s="4">
        <f t="shared" si="134"/>
        <v>990.66662698412699</v>
      </c>
    </row>
    <row r="459" spans="1:19" ht="33" hidden="1" customHeight="1" x14ac:dyDescent="0.25">
      <c r="A459" s="5">
        <v>457</v>
      </c>
      <c r="B459" s="13">
        <v>446</v>
      </c>
      <c r="C459" s="6" t="s">
        <v>503</v>
      </c>
      <c r="D459" s="5">
        <v>276</v>
      </c>
      <c r="E459" s="7">
        <v>2.23</v>
      </c>
      <c r="F459" s="7">
        <f t="shared" si="128"/>
        <v>615.48</v>
      </c>
      <c r="G459" s="8">
        <f t="shared" si="135"/>
        <v>615.48</v>
      </c>
      <c r="H459" s="4">
        <f t="shared" si="129"/>
        <v>784.73699999999997</v>
      </c>
      <c r="I459" s="4">
        <f t="shared" si="139"/>
        <v>871.93</v>
      </c>
      <c r="J459" s="17">
        <v>450</v>
      </c>
      <c r="K459" s="7">
        <f t="shared" si="136"/>
        <v>35.699999999999996</v>
      </c>
      <c r="L459" s="7">
        <f t="shared" si="137"/>
        <v>28</v>
      </c>
      <c r="M459" s="7">
        <f t="shared" si="138"/>
        <v>25.2</v>
      </c>
      <c r="N459" s="7">
        <f t="shared" si="130"/>
        <v>12.605042016806724</v>
      </c>
      <c r="O459" s="7">
        <f t="shared" si="131"/>
        <v>16.071428571428573</v>
      </c>
      <c r="P459" s="4">
        <f t="shared" si="132"/>
        <v>17.857142857142858</v>
      </c>
      <c r="Q459" s="4">
        <f t="shared" si="133"/>
        <v>628.08504201680671</v>
      </c>
      <c r="R459" s="4">
        <f t="shared" si="134"/>
        <v>800.80842857142852</v>
      </c>
      <c r="S459" s="4">
        <f t="shared" si="134"/>
        <v>889.78714285714284</v>
      </c>
    </row>
    <row r="460" spans="1:19" ht="33" hidden="1" customHeight="1" x14ac:dyDescent="0.25">
      <c r="A460" s="5">
        <v>458</v>
      </c>
      <c r="B460" s="13">
        <v>447</v>
      </c>
      <c r="C460" s="6" t="s">
        <v>504</v>
      </c>
      <c r="D460" s="5">
        <v>421</v>
      </c>
      <c r="E460" s="7">
        <v>2.23</v>
      </c>
      <c r="F460" s="7">
        <f t="shared" si="128"/>
        <v>938.83</v>
      </c>
      <c r="G460" s="8">
        <f t="shared" si="135"/>
        <v>938.83</v>
      </c>
      <c r="H460" s="4">
        <f t="shared" si="129"/>
        <v>1197.0082499999999</v>
      </c>
      <c r="I460" s="4">
        <f t="shared" si="139"/>
        <v>1330.0091666666667</v>
      </c>
      <c r="J460" s="17">
        <v>575</v>
      </c>
      <c r="K460" s="7">
        <f t="shared" si="136"/>
        <v>35.699999999999996</v>
      </c>
      <c r="L460" s="7">
        <f t="shared" si="137"/>
        <v>28</v>
      </c>
      <c r="M460" s="7">
        <f t="shared" si="138"/>
        <v>25.2</v>
      </c>
      <c r="N460" s="7">
        <f t="shared" si="130"/>
        <v>16.106442577030815</v>
      </c>
      <c r="O460" s="7">
        <f t="shared" si="131"/>
        <v>20.535714285714285</v>
      </c>
      <c r="P460" s="4">
        <f t="shared" si="132"/>
        <v>22.817460317460316</v>
      </c>
      <c r="Q460" s="4">
        <f t="shared" si="133"/>
        <v>954.9364425770309</v>
      </c>
      <c r="R460" s="4">
        <f t="shared" si="134"/>
        <v>1217.5439642857141</v>
      </c>
      <c r="S460" s="4">
        <f t="shared" si="134"/>
        <v>1352.826626984127</v>
      </c>
    </row>
    <row r="461" spans="1:19" ht="33" hidden="1" customHeight="1" x14ac:dyDescent="0.25">
      <c r="A461" s="5">
        <v>459</v>
      </c>
      <c r="B461" s="13">
        <v>448</v>
      </c>
      <c r="C461" s="6" t="s">
        <v>505</v>
      </c>
      <c r="D461" s="5">
        <v>230</v>
      </c>
      <c r="E461" s="7">
        <v>2.23</v>
      </c>
      <c r="F461" s="7">
        <f t="shared" si="128"/>
        <v>512.9</v>
      </c>
      <c r="G461" s="8">
        <f t="shared" si="135"/>
        <v>512.9</v>
      </c>
      <c r="H461" s="4">
        <f t="shared" si="129"/>
        <v>653.94749999999988</v>
      </c>
      <c r="I461" s="4">
        <f t="shared" si="139"/>
        <v>726.60833333333323</v>
      </c>
      <c r="J461" s="17">
        <v>405</v>
      </c>
      <c r="K461" s="7">
        <f t="shared" si="136"/>
        <v>35.699999999999996</v>
      </c>
      <c r="L461" s="7">
        <f t="shared" si="137"/>
        <v>28</v>
      </c>
      <c r="M461" s="7">
        <f t="shared" si="138"/>
        <v>25.2</v>
      </c>
      <c r="N461" s="7">
        <f t="shared" si="130"/>
        <v>11.344537815126051</v>
      </c>
      <c r="O461" s="7">
        <f t="shared" si="131"/>
        <v>14.464285714285714</v>
      </c>
      <c r="P461" s="4">
        <f t="shared" si="132"/>
        <v>16.071428571428573</v>
      </c>
      <c r="Q461" s="4">
        <f t="shared" si="133"/>
        <v>524.24453781512602</v>
      </c>
      <c r="R461" s="4">
        <f t="shared" si="134"/>
        <v>668.41178571428554</v>
      </c>
      <c r="S461" s="4">
        <f t="shared" si="134"/>
        <v>742.67976190476179</v>
      </c>
    </row>
    <row r="462" spans="1:19" ht="33" hidden="1" customHeight="1" x14ac:dyDescent="0.25">
      <c r="A462" s="5">
        <v>460</v>
      </c>
      <c r="B462" s="13">
        <v>451</v>
      </c>
      <c r="C462" s="6" t="s">
        <v>371</v>
      </c>
      <c r="D462" s="5">
        <v>241</v>
      </c>
      <c r="E462" s="7">
        <v>2.23</v>
      </c>
      <c r="F462" s="7">
        <f t="shared" si="128"/>
        <v>537.42999999999995</v>
      </c>
      <c r="G462" s="8">
        <f t="shared" si="135"/>
        <v>537.42999999999995</v>
      </c>
      <c r="H462" s="4">
        <f t="shared" si="129"/>
        <v>685.22324999999989</v>
      </c>
      <c r="I462" s="4">
        <f t="shared" si="139"/>
        <v>761.35916666666662</v>
      </c>
      <c r="J462" s="17">
        <v>2730</v>
      </c>
      <c r="K462" s="7">
        <f t="shared" si="136"/>
        <v>35.699999999999996</v>
      </c>
      <c r="L462" s="7">
        <f t="shared" si="137"/>
        <v>28</v>
      </c>
      <c r="M462" s="7">
        <f t="shared" si="138"/>
        <v>25.2</v>
      </c>
      <c r="N462" s="7">
        <f t="shared" si="130"/>
        <v>76.47058823529413</v>
      </c>
      <c r="O462" s="7">
        <f t="shared" si="131"/>
        <v>97.5</v>
      </c>
      <c r="P462" s="4">
        <f t="shared" si="132"/>
        <v>108.33333333333334</v>
      </c>
      <c r="Q462" s="4">
        <f t="shared" si="133"/>
        <v>613.90058823529409</v>
      </c>
      <c r="R462" s="4">
        <f t="shared" si="134"/>
        <v>782.72324999999989</v>
      </c>
      <c r="S462" s="4">
        <f t="shared" si="134"/>
        <v>869.6925</v>
      </c>
    </row>
    <row r="463" spans="1:19" ht="33" hidden="1" customHeight="1" x14ac:dyDescent="0.25">
      <c r="A463" s="5">
        <v>461</v>
      </c>
      <c r="B463" s="13">
        <v>459</v>
      </c>
      <c r="C463" s="6" t="s">
        <v>372</v>
      </c>
      <c r="D463" s="13">
        <v>317</v>
      </c>
      <c r="E463" s="7">
        <v>2.23</v>
      </c>
      <c r="F463" s="7">
        <f t="shared" si="128"/>
        <v>706.91</v>
      </c>
      <c r="G463" s="8">
        <f t="shared" si="135"/>
        <v>706.91</v>
      </c>
      <c r="H463" s="4">
        <f t="shared" si="129"/>
        <v>901.31024999999988</v>
      </c>
      <c r="I463" s="4">
        <f t="shared" si="139"/>
        <v>1001.4558333333332</v>
      </c>
      <c r="J463" s="17">
        <v>3625</v>
      </c>
      <c r="K463" s="7">
        <f t="shared" si="136"/>
        <v>35.699999999999996</v>
      </c>
      <c r="L463" s="7">
        <f t="shared" si="137"/>
        <v>28</v>
      </c>
      <c r="M463" s="7">
        <f t="shared" si="138"/>
        <v>25.2</v>
      </c>
      <c r="N463" s="7">
        <f t="shared" si="130"/>
        <v>101.54061624649862</v>
      </c>
      <c r="O463" s="7">
        <f t="shared" si="131"/>
        <v>129.46428571428572</v>
      </c>
      <c r="P463" s="4">
        <f t="shared" si="132"/>
        <v>143.84920634920636</v>
      </c>
      <c r="Q463" s="4">
        <f t="shared" si="133"/>
        <v>808.45061624649861</v>
      </c>
      <c r="R463" s="4">
        <f t="shared" si="134"/>
        <v>1030.7745357142855</v>
      </c>
      <c r="S463" s="4">
        <f t="shared" si="134"/>
        <v>1145.3050396825395</v>
      </c>
    </row>
    <row r="464" spans="1:19" ht="33" hidden="1" customHeight="1" x14ac:dyDescent="0.25">
      <c r="A464" s="5">
        <v>462</v>
      </c>
      <c r="B464" s="13">
        <v>460</v>
      </c>
      <c r="C464" s="6" t="s">
        <v>373</v>
      </c>
      <c r="D464" s="5">
        <v>591</v>
      </c>
      <c r="E464" s="7">
        <v>2.23</v>
      </c>
      <c r="F464" s="7">
        <f t="shared" si="128"/>
        <v>1317.93</v>
      </c>
      <c r="G464" s="8">
        <f t="shared" si="135"/>
        <v>1317.93</v>
      </c>
      <c r="H464" s="4">
        <f t="shared" si="129"/>
        <v>1680.3607500000001</v>
      </c>
      <c r="I464" s="4">
        <f t="shared" si="139"/>
        <v>1867.0675000000001</v>
      </c>
      <c r="J464" s="17">
        <v>3305</v>
      </c>
      <c r="K464" s="7">
        <f t="shared" si="136"/>
        <v>35.699999999999996</v>
      </c>
      <c r="L464" s="7">
        <f t="shared" si="137"/>
        <v>28</v>
      </c>
      <c r="M464" s="7">
        <f t="shared" si="138"/>
        <v>25.2</v>
      </c>
      <c r="N464" s="7">
        <f t="shared" si="130"/>
        <v>92.577030812324935</v>
      </c>
      <c r="O464" s="7">
        <f t="shared" si="131"/>
        <v>118.03571428571429</v>
      </c>
      <c r="P464" s="4">
        <f t="shared" si="132"/>
        <v>131.15079365079364</v>
      </c>
      <c r="Q464" s="4">
        <f t="shared" si="133"/>
        <v>1410.507030812325</v>
      </c>
      <c r="R464" s="4">
        <f t="shared" si="134"/>
        <v>1798.3964642857143</v>
      </c>
      <c r="S464" s="4">
        <f t="shared" si="134"/>
        <v>1998.2182936507938</v>
      </c>
    </row>
    <row r="465" spans="1:19" ht="33" hidden="1" customHeight="1" x14ac:dyDescent="0.25">
      <c r="A465" s="5">
        <v>463</v>
      </c>
      <c r="B465" s="13">
        <v>461</v>
      </c>
      <c r="C465" s="6" t="s">
        <v>374</v>
      </c>
      <c r="D465" s="13">
        <v>298</v>
      </c>
      <c r="E465" s="7">
        <v>2.23</v>
      </c>
      <c r="F465" s="7">
        <f t="shared" si="128"/>
        <v>664.54</v>
      </c>
      <c r="G465" s="8">
        <f t="shared" si="135"/>
        <v>664.54</v>
      </c>
      <c r="H465" s="4">
        <f t="shared" si="129"/>
        <v>847.28849999999989</v>
      </c>
      <c r="I465" s="4">
        <f t="shared" si="139"/>
        <v>941.43166666666673</v>
      </c>
      <c r="J465" s="17">
        <v>260</v>
      </c>
      <c r="K465" s="7">
        <f t="shared" si="136"/>
        <v>35.699999999999996</v>
      </c>
      <c r="L465" s="7">
        <f t="shared" si="137"/>
        <v>28</v>
      </c>
      <c r="M465" s="7">
        <f t="shared" si="138"/>
        <v>25.2</v>
      </c>
      <c r="N465" s="7">
        <f t="shared" si="130"/>
        <v>7.2829131652661072</v>
      </c>
      <c r="O465" s="7">
        <f t="shared" si="131"/>
        <v>9.2857142857142865</v>
      </c>
      <c r="P465" s="4">
        <f t="shared" si="132"/>
        <v>10.317460317460318</v>
      </c>
      <c r="Q465" s="4">
        <f t="shared" si="133"/>
        <v>671.82291316526607</v>
      </c>
      <c r="R465" s="4">
        <f t="shared" si="134"/>
        <v>856.57421428571422</v>
      </c>
      <c r="S465" s="4">
        <f t="shared" si="134"/>
        <v>951.74912698412709</v>
      </c>
    </row>
    <row r="466" spans="1:19" ht="33" hidden="1" customHeight="1" x14ac:dyDescent="0.25">
      <c r="A466" s="5">
        <v>464</v>
      </c>
      <c r="B466" s="13">
        <v>462</v>
      </c>
      <c r="C466" s="6" t="s">
        <v>375</v>
      </c>
      <c r="D466" s="13">
        <v>474</v>
      </c>
      <c r="E466" s="7">
        <v>2.23</v>
      </c>
      <c r="F466" s="7">
        <f t="shared" si="128"/>
        <v>1057.02</v>
      </c>
      <c r="G466" s="8">
        <f t="shared" si="135"/>
        <v>1057.02</v>
      </c>
      <c r="H466" s="4">
        <f t="shared" si="129"/>
        <v>1347.7004999999999</v>
      </c>
      <c r="I466" s="4">
        <f t="shared" si="139"/>
        <v>1497.4449999999999</v>
      </c>
      <c r="J466" s="17">
        <v>3035</v>
      </c>
      <c r="K466" s="7">
        <f t="shared" si="136"/>
        <v>35.699999999999996</v>
      </c>
      <c r="L466" s="7">
        <f t="shared" si="137"/>
        <v>28</v>
      </c>
      <c r="M466" s="7">
        <f t="shared" si="138"/>
        <v>25.2</v>
      </c>
      <c r="N466" s="7">
        <f t="shared" si="130"/>
        <v>85.0140056022409</v>
      </c>
      <c r="O466" s="7">
        <f t="shared" si="131"/>
        <v>108.39285714285714</v>
      </c>
      <c r="P466" s="4">
        <f t="shared" si="132"/>
        <v>120.43650793650794</v>
      </c>
      <c r="Q466" s="4">
        <f t="shared" si="133"/>
        <v>1142.034005602241</v>
      </c>
      <c r="R466" s="4">
        <f t="shared" si="134"/>
        <v>1456.093357142857</v>
      </c>
      <c r="S466" s="4">
        <f t="shared" si="134"/>
        <v>1617.8815079365079</v>
      </c>
    </row>
    <row r="467" spans="1:19" ht="33" hidden="1" customHeight="1" x14ac:dyDescent="0.25">
      <c r="A467" s="5">
        <v>465</v>
      </c>
      <c r="B467" s="13">
        <v>464</v>
      </c>
      <c r="C467" s="6" t="s">
        <v>376</v>
      </c>
      <c r="D467" s="13">
        <v>247</v>
      </c>
      <c r="E467" s="7">
        <v>2.23</v>
      </c>
      <c r="F467" s="7">
        <f t="shared" si="128"/>
        <v>550.80999999999995</v>
      </c>
      <c r="G467" s="8">
        <f t="shared" si="135"/>
        <v>550.80999999999995</v>
      </c>
      <c r="H467" s="4">
        <f t="shared" si="129"/>
        <v>702.28274999999985</v>
      </c>
      <c r="I467" s="4">
        <f t="shared" si="139"/>
        <v>780.31416666666655</v>
      </c>
      <c r="J467" s="17">
        <v>2730</v>
      </c>
      <c r="K467" s="7">
        <f t="shared" si="136"/>
        <v>35.699999999999996</v>
      </c>
      <c r="L467" s="7">
        <f t="shared" si="137"/>
        <v>28</v>
      </c>
      <c r="M467" s="7">
        <f t="shared" si="138"/>
        <v>25.2</v>
      </c>
      <c r="N467" s="7">
        <f t="shared" si="130"/>
        <v>76.47058823529413</v>
      </c>
      <c r="O467" s="7">
        <f t="shared" si="131"/>
        <v>97.5</v>
      </c>
      <c r="P467" s="4">
        <f t="shared" si="132"/>
        <v>108.33333333333334</v>
      </c>
      <c r="Q467" s="4">
        <f t="shared" si="133"/>
        <v>627.28058823529409</v>
      </c>
      <c r="R467" s="4">
        <f t="shared" si="134"/>
        <v>799.78274999999985</v>
      </c>
      <c r="S467" s="4">
        <f t="shared" si="134"/>
        <v>888.64749999999992</v>
      </c>
    </row>
  </sheetData>
  <autoFilter ref="A2:T467" xr:uid="{9D7BE9B9-AB1C-438C-B1DC-F9C800E029B8}">
    <filterColumn colId="1">
      <filters>
        <filter val="ডিডিআর-01"/>
        <filter val="ডিডিআর-02"/>
        <filter val="ডিডিআর-03"/>
        <filter val="ডিডিআর-04"/>
        <filter val="ডিডিআর-05"/>
        <filter val="ডিডিআর-06"/>
        <filter val="ডিডিআর-07"/>
        <filter val="ডিডিআর-08"/>
        <filter val="ডিডিআর-09"/>
        <filter val="ডিডিআর-10"/>
        <filter val="ডিডিআর-11"/>
        <filter val="ডিডিআর-12"/>
        <filter val="ডিডিআর-13"/>
        <filter val="ডিডিআর-14"/>
        <filter val="ডিডিআর-15"/>
        <filter val="ডিডিআর-16"/>
        <filter val="ডিডিআর-17"/>
        <filter val="ডিডিআর-18"/>
        <filter val="ডিডিআর-19"/>
        <filter val="ডিডিআর-20"/>
        <filter val="ডিডিআর-21"/>
        <filter val="ডিডিআর-22"/>
        <filter val="ডিডিআর-23"/>
        <filter val="ডিডিআর-24"/>
        <filter val="ডিডিআর-25"/>
        <filter val="ডিডিআর-26"/>
        <filter val="ডিডিআর-27"/>
        <filter val="ডিডিআর-28"/>
        <filter val="ডিডিআর-29"/>
        <filter val="ডিডিআর-30"/>
        <filter val="ডিডিআর-31"/>
        <filter val="ডিডিআর-32"/>
        <filter val="ডিডিআর-33"/>
        <filter val="ডিডিআর-34"/>
        <filter val="ডিডিআর-35"/>
        <filter val="ডিডিআর-36"/>
        <filter val="ডিডিআর-37"/>
        <filter val="ডিডিআর-38"/>
      </filters>
    </filterColumn>
  </autoFilter>
  <mergeCells count="12">
    <mergeCell ref="A1:A2"/>
    <mergeCell ref="B1:B2"/>
    <mergeCell ref="C1:C2"/>
    <mergeCell ref="D1:D2"/>
    <mergeCell ref="T3:T63"/>
    <mergeCell ref="Q1:S1"/>
    <mergeCell ref="N1:P1"/>
    <mergeCell ref="K1:M1"/>
    <mergeCell ref="G1:I1"/>
    <mergeCell ref="E1:E2"/>
    <mergeCell ref="F1:F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 Fare_(51, 40, 36)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Mohammad Monsur Habib</cp:lastModifiedBy>
  <cp:lastPrinted>2026-04-23T09:50:00Z</cp:lastPrinted>
  <dcterms:created xsi:type="dcterms:W3CDTF">2026-04-23T09:14:05Z</dcterms:created>
  <dcterms:modified xsi:type="dcterms:W3CDTF">2026-06-09T10:30:52Z</dcterms:modified>
</cp:coreProperties>
</file>